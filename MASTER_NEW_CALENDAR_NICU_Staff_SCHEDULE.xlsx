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9"/>
  <workbookPr/>
  <mc:AlternateContent xmlns:mc="http://schemas.openxmlformats.org/markup-compatibility/2006">
    <mc:Choice Requires="x15">
      <x15ac:absPath xmlns:x15ac="http://schemas.microsoft.com/office/spreadsheetml/2010/11/ac" url="https://clevelandclinic-my.sharepoint.com/personal/villamc_ccf_org/Documents/Staff Schedule/Staff Master Calendars/"/>
    </mc:Choice>
  </mc:AlternateContent>
  <xr:revisionPtr revIDLastSave="1059" documentId="8_{C2722F12-5AE3-4241-9C21-CD5B58320B6B}" xr6:coauthVersionLast="47" xr6:coauthVersionMax="47" xr10:uidLastSave="{363C5DC4-7929-4FD5-9757-A95932478C6D}"/>
  <bookViews>
    <workbookView xWindow="-120" yWindow="-120" windowWidth="29040" windowHeight="15720" xr2:uid="{95F3F88C-AE01-48D3-B8B4-4A8C54D4FB45}"/>
  </bookViews>
  <sheets>
    <sheet name="2026 Sch" sheetId="6" r:id="rId1"/>
    <sheet name="Staff 2026 #s" sheetId="5" r:id="rId2"/>
    <sheet name="2026 RD changes" sheetId="7" r:id="rId3"/>
    <sheet name="2025 First Half" sheetId="1" r:id="rId4"/>
    <sheet name="2025 second half" sheetId="3" r:id="rId5"/>
    <sheet name="Staff 2025 #s" sheetId="2" r:id="rId6"/>
    <sheet name="Swap Tracker" sheetId="4" r:id="rId7"/>
  </sheets>
  <definedNames>
    <definedName name="_xlnm._FilterDatabase" localSheetId="3" hidden="1">'2025 First Half'!$A$1:$F$193</definedName>
    <definedName name="_xlnm._FilterDatabase" localSheetId="4" hidden="1">'2025 second half'!$A$1:$F$191</definedName>
    <definedName name="_xlnm._FilterDatabase" localSheetId="0" hidden="1">'2026 Sch'!$A$1:$O$381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56" i="5" l="1"/>
  <c r="J57" i="5"/>
  <c r="J58" i="5"/>
  <c r="K56" i="5"/>
  <c r="K57" i="5"/>
  <c r="K58" i="5"/>
  <c r="H13" i="5"/>
  <c r="K13" i="5" s="1"/>
  <c r="P5" i="5"/>
  <c r="G8" i="5"/>
  <c r="G7" i="5"/>
  <c r="F4" i="5"/>
  <c r="F3" i="5"/>
  <c r="F5" i="5"/>
  <c r="F6" i="5"/>
  <c r="G3" i="5"/>
  <c r="H3" i="5"/>
  <c r="I3" i="5"/>
  <c r="D6" i="5"/>
  <c r="D5" i="5"/>
  <c r="D4" i="5"/>
  <c r="D3" i="5"/>
  <c r="C3" i="5"/>
  <c r="C4" i="5"/>
  <c r="C5" i="5"/>
  <c r="C6" i="5"/>
  <c r="C7" i="5"/>
  <c r="C8" i="5"/>
  <c r="C9" i="5"/>
  <c r="C10" i="5"/>
  <c r="C11" i="5"/>
  <c r="C12" i="5"/>
  <c r="C13" i="5"/>
  <c r="C14" i="5"/>
  <c r="C15" i="5"/>
  <c r="C16" i="5"/>
  <c r="C17" i="5"/>
  <c r="B4" i="5"/>
  <c r="J4" i="5" s="1"/>
  <c r="B5" i="5"/>
  <c r="B6" i="5"/>
  <c r="B7" i="5"/>
  <c r="B8" i="5"/>
  <c r="B9" i="5"/>
  <c r="B10" i="5"/>
  <c r="B11" i="5"/>
  <c r="B12" i="5"/>
  <c r="B13" i="5"/>
  <c r="B14" i="5"/>
  <c r="B15" i="5"/>
  <c r="B16" i="5"/>
  <c r="B17" i="5"/>
  <c r="J17" i="5" s="1"/>
  <c r="O17" i="5" s="1"/>
  <c r="B3" i="5"/>
  <c r="G16" i="5"/>
  <c r="G4" i="5"/>
  <c r="C61" i="2"/>
  <c r="D61" i="2" s="1"/>
  <c r="B61" i="2"/>
  <c r="B60" i="2"/>
  <c r="C60" i="2"/>
  <c r="A62" i="2"/>
  <c r="D60" i="2"/>
  <c r="G47" i="2"/>
  <c r="G46" i="2"/>
  <c r="G48" i="2"/>
  <c r="G49" i="2"/>
  <c r="G50" i="2"/>
  <c r="G51" i="2"/>
  <c r="G52" i="2"/>
  <c r="G53" i="2"/>
  <c r="G54" i="2"/>
  <c r="G55" i="2"/>
  <c r="F55" i="2"/>
  <c r="F47" i="2"/>
  <c r="F48" i="2"/>
  <c r="F49" i="2"/>
  <c r="F50" i="2"/>
  <c r="F51" i="2"/>
  <c r="F52" i="2"/>
  <c r="F53" i="2"/>
  <c r="F54" i="2"/>
  <c r="F46" i="2"/>
  <c r="N19" i="5"/>
  <c r="M19" i="5"/>
  <c r="E6" i="5"/>
  <c r="G6" i="5"/>
  <c r="H6" i="5"/>
  <c r="I6" i="5"/>
  <c r="L6" i="5"/>
  <c r="K3" i="5"/>
  <c r="P3" i="5" s="1"/>
  <c r="E3" i="5"/>
  <c r="L3" i="5"/>
  <c r="E4" i="5"/>
  <c r="H4" i="5"/>
  <c r="I4" i="5"/>
  <c r="L4" i="5"/>
  <c r="E5" i="5"/>
  <c r="G5" i="5"/>
  <c r="H5" i="5"/>
  <c r="I5" i="5"/>
  <c r="L5" i="5"/>
  <c r="K31" i="5"/>
  <c r="L7" i="5"/>
  <c r="L8" i="5"/>
  <c r="L9" i="5"/>
  <c r="L10" i="5"/>
  <c r="L11" i="5"/>
  <c r="L12" i="5"/>
  <c r="L13" i="5"/>
  <c r="L14" i="5"/>
  <c r="L15" i="5"/>
  <c r="L16" i="5"/>
  <c r="L17" i="5"/>
  <c r="N38" i="5"/>
  <c r="M38" i="5"/>
  <c r="J54" i="5"/>
  <c r="J35" i="5"/>
  <c r="J36" i="5"/>
  <c r="K36" i="5"/>
  <c r="J55" i="5"/>
  <c r="K55" i="5"/>
  <c r="D17" i="5"/>
  <c r="E17" i="5"/>
  <c r="K17" i="5" s="1"/>
  <c r="P17" i="5" s="1"/>
  <c r="F17" i="5"/>
  <c r="G17" i="5"/>
  <c r="H17" i="5"/>
  <c r="I17" i="5"/>
  <c r="D7" i="5"/>
  <c r="E7" i="5"/>
  <c r="F7" i="5"/>
  <c r="H7" i="5"/>
  <c r="I7" i="5"/>
  <c r="D8" i="5"/>
  <c r="E8" i="5"/>
  <c r="F8" i="5"/>
  <c r="H8" i="5"/>
  <c r="K8" i="5" s="1"/>
  <c r="P8" i="5" s="1"/>
  <c r="D9" i="5"/>
  <c r="E9" i="5"/>
  <c r="F9" i="5"/>
  <c r="G9" i="5"/>
  <c r="H9" i="5"/>
  <c r="K9" i="5" s="1"/>
  <c r="P9" i="5" s="1"/>
  <c r="I9" i="5"/>
  <c r="D10" i="5"/>
  <c r="E10" i="5"/>
  <c r="F10" i="5"/>
  <c r="G10" i="5"/>
  <c r="H10" i="5"/>
  <c r="I10" i="5"/>
  <c r="D11" i="5"/>
  <c r="E11" i="5"/>
  <c r="F11" i="5"/>
  <c r="G11" i="5"/>
  <c r="H11" i="5"/>
  <c r="I11" i="5"/>
  <c r="D12" i="5"/>
  <c r="E12" i="5"/>
  <c r="K12" i="5" s="1"/>
  <c r="P12" i="5" s="1"/>
  <c r="F12" i="5"/>
  <c r="G12" i="5"/>
  <c r="H12" i="5"/>
  <c r="D13" i="5"/>
  <c r="E13" i="5"/>
  <c r="F13" i="5"/>
  <c r="G13" i="5"/>
  <c r="J13" i="5" s="1"/>
  <c r="I13" i="5"/>
  <c r="D14" i="5"/>
  <c r="E14" i="5"/>
  <c r="G14" i="5"/>
  <c r="H14" i="5"/>
  <c r="I14" i="5"/>
  <c r="D15" i="5"/>
  <c r="E15" i="5"/>
  <c r="F15" i="5"/>
  <c r="G15" i="5"/>
  <c r="J15" i="5" s="1"/>
  <c r="O15" i="5" s="1"/>
  <c r="H15" i="5"/>
  <c r="I15" i="5"/>
  <c r="D16" i="5"/>
  <c r="E16" i="5"/>
  <c r="F16" i="5"/>
  <c r="H16" i="5"/>
  <c r="I16" i="5"/>
  <c r="J26" i="5"/>
  <c r="K35" i="5"/>
  <c r="K34" i="5"/>
  <c r="K32" i="5"/>
  <c r="K30" i="5"/>
  <c r="K29" i="5"/>
  <c r="K28" i="5"/>
  <c r="K27" i="5"/>
  <c r="K26" i="5"/>
  <c r="J34" i="5"/>
  <c r="J33" i="5"/>
  <c r="J32" i="5"/>
  <c r="J30" i="5"/>
  <c r="J29" i="5"/>
  <c r="J28" i="5"/>
  <c r="J27" i="5"/>
  <c r="K54" i="5"/>
  <c r="K53" i="5"/>
  <c r="J53" i="5"/>
  <c r="K52" i="5"/>
  <c r="J52" i="5"/>
  <c r="K51" i="5"/>
  <c r="J51" i="5"/>
  <c r="K50" i="5"/>
  <c r="J50" i="5"/>
  <c r="K49" i="5"/>
  <c r="J49" i="5"/>
  <c r="K48" i="5"/>
  <c r="J48" i="5"/>
  <c r="K47" i="5"/>
  <c r="J47" i="5"/>
  <c r="K46" i="5"/>
  <c r="J46" i="5"/>
  <c r="K45" i="5"/>
  <c r="J45" i="5"/>
  <c r="I31" i="5"/>
  <c r="I12" i="5"/>
  <c r="F33" i="5"/>
  <c r="K33" i="5" s="1"/>
  <c r="B4" i="2"/>
  <c r="B5" i="2"/>
  <c r="B6" i="2"/>
  <c r="B7" i="2"/>
  <c r="B8" i="2"/>
  <c r="B9" i="2"/>
  <c r="B10" i="2"/>
  <c r="B11" i="2"/>
  <c r="B12" i="2"/>
  <c r="B13" i="2"/>
  <c r="C4" i="2"/>
  <c r="C5" i="2"/>
  <c r="C6" i="2"/>
  <c r="C7" i="2"/>
  <c r="C8" i="2"/>
  <c r="C9" i="2"/>
  <c r="C10" i="2"/>
  <c r="C11" i="2"/>
  <c r="C12" i="2"/>
  <c r="C13" i="2"/>
  <c r="D4" i="2"/>
  <c r="D5" i="2"/>
  <c r="D6" i="2"/>
  <c r="D7" i="2"/>
  <c r="D8" i="2"/>
  <c r="D9" i="2"/>
  <c r="D10" i="2"/>
  <c r="D11" i="2"/>
  <c r="D12" i="2"/>
  <c r="D13" i="2"/>
  <c r="E4" i="2"/>
  <c r="E5" i="2"/>
  <c r="E6" i="2"/>
  <c r="E7" i="2"/>
  <c r="E8" i="2"/>
  <c r="E9" i="2"/>
  <c r="E10" i="2"/>
  <c r="E11" i="2"/>
  <c r="E12" i="2"/>
  <c r="E13" i="2"/>
  <c r="I4" i="2"/>
  <c r="I5" i="2"/>
  <c r="I6" i="2"/>
  <c r="I7" i="2"/>
  <c r="I8" i="2"/>
  <c r="I9" i="2"/>
  <c r="I10" i="2"/>
  <c r="I11" i="2"/>
  <c r="I12" i="2"/>
  <c r="I13" i="2"/>
  <c r="H4" i="2"/>
  <c r="H5" i="2"/>
  <c r="H6" i="2"/>
  <c r="H7" i="2"/>
  <c r="H8" i="2"/>
  <c r="H9" i="2"/>
  <c r="H10" i="2"/>
  <c r="H11" i="2"/>
  <c r="H12" i="2"/>
  <c r="K12" i="2"/>
  <c r="H13" i="2"/>
  <c r="K13" i="2"/>
  <c r="G4" i="2"/>
  <c r="G5" i="2"/>
  <c r="G6" i="2"/>
  <c r="G7" i="2"/>
  <c r="G8" i="2"/>
  <c r="G9" i="2"/>
  <c r="G10" i="2"/>
  <c r="G11" i="2"/>
  <c r="G12" i="2"/>
  <c r="G13" i="2"/>
  <c r="F4" i="2"/>
  <c r="F5" i="2"/>
  <c r="K5" i="2"/>
  <c r="F6" i="2"/>
  <c r="F7" i="2"/>
  <c r="F8" i="2"/>
  <c r="F9" i="2"/>
  <c r="F10" i="2"/>
  <c r="F11" i="2"/>
  <c r="F12" i="2"/>
  <c r="F13" i="2"/>
  <c r="F3" i="2"/>
  <c r="J32" i="2"/>
  <c r="J33" i="2"/>
  <c r="J34" i="2"/>
  <c r="J35" i="2"/>
  <c r="J36" i="2"/>
  <c r="J37" i="2"/>
  <c r="J38" i="2"/>
  <c r="J39" i="2"/>
  <c r="J40" i="2"/>
  <c r="J41" i="2"/>
  <c r="J31" i="2"/>
  <c r="J17" i="2"/>
  <c r="J18" i="2"/>
  <c r="J19" i="2"/>
  <c r="J20" i="2"/>
  <c r="J21" i="2"/>
  <c r="J22" i="2"/>
  <c r="J23" i="2"/>
  <c r="J24" i="2"/>
  <c r="J25" i="2"/>
  <c r="J26" i="2"/>
  <c r="J27" i="2"/>
  <c r="K18" i="2"/>
  <c r="K19" i="2"/>
  <c r="K20" i="2"/>
  <c r="K21" i="2"/>
  <c r="K22" i="2"/>
  <c r="K23" i="2"/>
  <c r="K24" i="2"/>
  <c r="K25" i="2"/>
  <c r="K26" i="2"/>
  <c r="K27" i="2"/>
  <c r="K10" i="2"/>
  <c r="K4" i="2"/>
  <c r="K9" i="2"/>
  <c r="I3" i="2"/>
  <c r="J3" i="2"/>
  <c r="N3" i="2"/>
  <c r="H3" i="2"/>
  <c r="K3" i="2"/>
  <c r="G3" i="2"/>
  <c r="E3" i="2"/>
  <c r="D3" i="2"/>
  <c r="C3" i="2"/>
  <c r="B3" i="2"/>
  <c r="H42" i="2"/>
  <c r="E42" i="2"/>
  <c r="K41" i="2"/>
  <c r="K40" i="2"/>
  <c r="K39" i="2"/>
  <c r="K38" i="2"/>
  <c r="K37" i="2"/>
  <c r="K36" i="2"/>
  <c r="K35" i="2"/>
  <c r="K34" i="2"/>
  <c r="K33" i="2"/>
  <c r="K32" i="2"/>
  <c r="K31" i="2"/>
  <c r="K17" i="2"/>
  <c r="K10" i="5"/>
  <c r="P10" i="5" s="1"/>
  <c r="J31" i="5"/>
  <c r="F14" i="5"/>
  <c r="J9" i="2"/>
  <c r="N9" i="2"/>
  <c r="J4" i="2"/>
  <c r="N4" i="2"/>
  <c r="K7" i="2"/>
  <c r="K11" i="2"/>
  <c r="K8" i="2"/>
  <c r="K6" i="2"/>
  <c r="J7" i="2"/>
  <c r="N7" i="2"/>
  <c r="J6" i="2"/>
  <c r="N6" i="2"/>
  <c r="O7" i="2"/>
  <c r="O5" i="2"/>
  <c r="O4" i="2"/>
  <c r="O13" i="2"/>
  <c r="O8" i="2"/>
  <c r="O11" i="2"/>
  <c r="O10" i="2"/>
  <c r="J10" i="2"/>
  <c r="N10" i="2"/>
  <c r="J12" i="2"/>
  <c r="N12" i="2"/>
  <c r="J11" i="2"/>
  <c r="N11" i="2"/>
  <c r="J42" i="2"/>
  <c r="J8" i="2"/>
  <c r="N8" i="2"/>
  <c r="K42" i="2"/>
  <c r="J5" i="2"/>
  <c r="N5" i="2"/>
  <c r="O3" i="2"/>
  <c r="O6" i="2"/>
  <c r="O9" i="2"/>
  <c r="O12" i="2"/>
  <c r="J13" i="2"/>
  <c r="N13" i="2"/>
  <c r="J8" i="5" l="1"/>
  <c r="O8" i="5" s="1"/>
  <c r="K4" i="5"/>
  <c r="P4" i="5" s="1"/>
  <c r="O13" i="5"/>
  <c r="K16" i="5"/>
  <c r="P16" i="5" s="1"/>
  <c r="K7" i="5"/>
  <c r="P7" i="5" s="1"/>
  <c r="K15" i="5"/>
  <c r="P15" i="5" s="1"/>
  <c r="J3" i="5"/>
  <c r="O3" i="5" s="1"/>
  <c r="K6" i="5"/>
  <c r="P6" i="5" s="1"/>
  <c r="K14" i="5"/>
  <c r="P14" i="5" s="1"/>
  <c r="J6" i="5"/>
  <c r="O6" i="5" s="1"/>
  <c r="K5" i="5"/>
  <c r="O4" i="5"/>
  <c r="J5" i="5"/>
  <c r="O5" i="5" s="1"/>
  <c r="J14" i="5"/>
  <c r="O14" i="5" s="1"/>
  <c r="J7" i="5"/>
  <c r="O7" i="5" s="1"/>
  <c r="K11" i="5"/>
  <c r="P11" i="5" s="1"/>
  <c r="J10" i="5"/>
  <c r="O10" i="5" s="1"/>
  <c r="P13" i="5"/>
  <c r="J12" i="5"/>
  <c r="O12" i="5" s="1"/>
  <c r="J16" i="5"/>
  <c r="O16" i="5" s="1"/>
  <c r="J11" i="5"/>
  <c r="O11" i="5" s="1"/>
  <c r="J9" i="5"/>
  <c r="O9" i="5" s="1"/>
</calcChain>
</file>

<file path=xl/sharedStrings.xml><?xml version="1.0" encoding="utf-8"?>
<sst xmlns="http://schemas.openxmlformats.org/spreadsheetml/2006/main" count="3747" uniqueCount="203">
  <si>
    <t xml:space="preserve">Month </t>
  </si>
  <si>
    <t xml:space="preserve">G20 </t>
  </si>
  <si>
    <t>H22</t>
  </si>
  <si>
    <t xml:space="preserve">Akron </t>
  </si>
  <si>
    <t>Nights</t>
  </si>
  <si>
    <t xml:space="preserve">Consults </t>
  </si>
  <si>
    <t>AMET</t>
  </si>
  <si>
    <t>Jeopardy</t>
  </si>
  <si>
    <t>Recovery</t>
  </si>
  <si>
    <t xml:space="preserve">Vacations </t>
  </si>
  <si>
    <t>Request</t>
  </si>
  <si>
    <t>January</t>
  </si>
  <si>
    <t>Night Order</t>
  </si>
  <si>
    <t>Rosales</t>
  </si>
  <si>
    <t>Bolt</t>
  </si>
  <si>
    <t>Bates &amp; Hassett</t>
  </si>
  <si>
    <t>Gomes</t>
  </si>
  <si>
    <t>Barron</t>
  </si>
  <si>
    <t>Dani</t>
  </si>
  <si>
    <t>Lynch</t>
  </si>
  <si>
    <t>Bates</t>
  </si>
  <si>
    <t>lynch</t>
  </si>
  <si>
    <t>Hassett</t>
  </si>
  <si>
    <t>New</t>
  </si>
  <si>
    <t>Hasset</t>
  </si>
  <si>
    <t xml:space="preserve">Dani </t>
  </si>
  <si>
    <t>Goswami</t>
  </si>
  <si>
    <t>Sabharwal</t>
  </si>
  <si>
    <t>Gomes &amp; Dani</t>
  </si>
  <si>
    <t>February</t>
  </si>
  <si>
    <t>vivek</t>
  </si>
  <si>
    <t>Barron &amp; Rosales</t>
  </si>
  <si>
    <t xml:space="preserve">Bates &amp; Barron </t>
  </si>
  <si>
    <t>March</t>
  </si>
  <si>
    <t>Rosales &amp; Bates</t>
  </si>
  <si>
    <t>Hassett &amp; Bates</t>
  </si>
  <si>
    <t>Bates &amp; Dani</t>
  </si>
  <si>
    <t>Vivek SICU</t>
  </si>
  <si>
    <t>Dani &amp; Lynch</t>
  </si>
  <si>
    <t>Mahapatra</t>
  </si>
  <si>
    <t>April</t>
  </si>
  <si>
    <t>Hassett &amp; Bolt</t>
  </si>
  <si>
    <t xml:space="preserve">Bates </t>
  </si>
  <si>
    <t xml:space="preserve">Lynch </t>
  </si>
  <si>
    <t>VIVEK NICU</t>
  </si>
  <si>
    <t>May</t>
  </si>
  <si>
    <t>Lynch &amp; Bates</t>
  </si>
  <si>
    <t xml:space="preserve">Rosales </t>
  </si>
  <si>
    <t>Goswami &amp; Gomes</t>
  </si>
  <si>
    <t>Sabarwhal</t>
  </si>
  <si>
    <t xml:space="preserve">Dani &amp; Goswami </t>
  </si>
  <si>
    <t>Gomes &amp; Hassett</t>
  </si>
  <si>
    <t>June</t>
  </si>
  <si>
    <t>VIVEK SICU</t>
  </si>
  <si>
    <t xml:space="preserve">Gomes &amp; Dani </t>
  </si>
  <si>
    <t>July</t>
  </si>
  <si>
    <t>August</t>
  </si>
  <si>
    <t xml:space="preserve">BARRON NEEDS OFF FOR QI </t>
  </si>
  <si>
    <t>Goswmami</t>
  </si>
  <si>
    <t>Kletsel</t>
  </si>
  <si>
    <t>Asher</t>
  </si>
  <si>
    <t>BB</t>
  </si>
  <si>
    <t>September</t>
  </si>
  <si>
    <t>Goswami (Epilepsy)</t>
  </si>
  <si>
    <t>Labor</t>
  </si>
  <si>
    <t>Mitchell</t>
  </si>
  <si>
    <t>October</t>
  </si>
  <si>
    <t>CC</t>
  </si>
  <si>
    <t>NCS</t>
  </si>
  <si>
    <t>November</t>
  </si>
  <si>
    <t>December</t>
  </si>
  <si>
    <t>Ketsel</t>
  </si>
  <si>
    <t xml:space="preserve">Total 2026 Service </t>
  </si>
  <si>
    <t>Staff</t>
  </si>
  <si>
    <t>G20</t>
  </si>
  <si>
    <t xml:space="preserve">WeekDAY Nights </t>
  </si>
  <si>
    <t>Main Wknds</t>
  </si>
  <si>
    <t>WeekEND Nights</t>
  </si>
  <si>
    <t>Akron Wknds</t>
  </si>
  <si>
    <t>Consults</t>
  </si>
  <si>
    <t xml:space="preserve">Weeks </t>
  </si>
  <si>
    <t>Weekends</t>
  </si>
  <si>
    <t>FTE Week</t>
  </si>
  <si>
    <t>FTE Weekend</t>
  </si>
  <si>
    <t>Week Deficits</t>
  </si>
  <si>
    <t>Weekend Deficit</t>
  </si>
  <si>
    <t>(Paternity, including july)</t>
  </si>
  <si>
    <t>(Maternity - epilepsy owes 1mo of weeks and weekends)</t>
  </si>
  <si>
    <t>(FTE with no nights)</t>
  </si>
  <si>
    <t>Villamizar Rosales</t>
  </si>
  <si>
    <t>EM</t>
  </si>
  <si>
    <t>First Half</t>
  </si>
  <si>
    <t>(including july + paternity)</t>
  </si>
  <si>
    <t>Second half</t>
  </si>
  <si>
    <t>(5mo)</t>
  </si>
  <si>
    <t>Holidays</t>
  </si>
  <si>
    <t>Summer</t>
  </si>
  <si>
    <t>Labor (nights)</t>
  </si>
  <si>
    <t>July 4th</t>
  </si>
  <si>
    <t>Night Lottery</t>
  </si>
  <si>
    <t>Memorial</t>
  </si>
  <si>
    <t xml:space="preserve">Gomes </t>
  </si>
  <si>
    <t>A</t>
  </si>
  <si>
    <t>Memorial (nights)</t>
  </si>
  <si>
    <t>labor</t>
  </si>
  <si>
    <t>B</t>
  </si>
  <si>
    <t>D</t>
  </si>
  <si>
    <t>E</t>
  </si>
  <si>
    <t>F</t>
  </si>
  <si>
    <t>Winter</t>
  </si>
  <si>
    <t>G</t>
  </si>
  <si>
    <t>New Years</t>
  </si>
  <si>
    <t>H</t>
  </si>
  <si>
    <t>I</t>
  </si>
  <si>
    <t>Thanksgiving</t>
  </si>
  <si>
    <t>J</t>
  </si>
  <si>
    <t xml:space="preserve">Thanksgiving </t>
  </si>
  <si>
    <t>NN</t>
  </si>
  <si>
    <t>K</t>
  </si>
  <si>
    <t>Xmas</t>
  </si>
  <si>
    <t>AA</t>
  </si>
  <si>
    <t xml:space="preserve">L </t>
  </si>
  <si>
    <t>Thanksgiving (nights)</t>
  </si>
  <si>
    <t>M</t>
  </si>
  <si>
    <t>NY 2027</t>
  </si>
  <si>
    <t>Lynch for goswami week Jan 6th and weekend</t>
  </si>
  <si>
    <t xml:space="preserve">January </t>
  </si>
  <si>
    <t xml:space="preserve">Abubakr </t>
  </si>
  <si>
    <t xml:space="preserve">Goswami </t>
  </si>
  <si>
    <t>C</t>
  </si>
  <si>
    <t>Abubakr</t>
  </si>
  <si>
    <t xml:space="preserve">Barron </t>
  </si>
  <si>
    <t xml:space="preserve">February </t>
  </si>
  <si>
    <t xml:space="preserve">Bolt </t>
  </si>
  <si>
    <t xml:space="preserve">Sabharwal </t>
  </si>
  <si>
    <t xml:space="preserve">March </t>
  </si>
  <si>
    <t xml:space="preserve">April </t>
  </si>
  <si>
    <t xml:space="preserve">May </t>
  </si>
  <si>
    <t xml:space="preserve">June </t>
  </si>
  <si>
    <t xml:space="preserve">Abubakr vacation staring June 18 </t>
  </si>
  <si>
    <t xml:space="preserve">Abubakr vacation </t>
  </si>
  <si>
    <t>Abubakr vacation &amp; Rosales</t>
  </si>
  <si>
    <t xml:space="preserve">July </t>
  </si>
  <si>
    <t xml:space="preserve">Dani &amp; Abubakr &amp; Rosales vacation </t>
  </si>
  <si>
    <t>Barron was on Consults</t>
  </si>
  <si>
    <t xml:space="preserve">Abubakr &amp; Rosales vacation </t>
  </si>
  <si>
    <t>Shweta Epilepsy</t>
  </si>
  <si>
    <t xml:space="preserve">August </t>
  </si>
  <si>
    <t>Barron Mtg</t>
  </si>
  <si>
    <t xml:space="preserve">Dani Vacation </t>
  </si>
  <si>
    <t xml:space="preserve">September </t>
  </si>
  <si>
    <t xml:space="preserve">Switch hasset for bolt </t>
  </si>
  <si>
    <t>Bolt out</t>
  </si>
  <si>
    <t>Bolt out, Barron Mtg</t>
  </si>
  <si>
    <t xml:space="preserve">October </t>
  </si>
  <si>
    <t>Bolt for hasset</t>
  </si>
  <si>
    <t>Abubakr for Sabharwal (per email)</t>
  </si>
  <si>
    <t xml:space="preserve">November </t>
  </si>
  <si>
    <t xml:space="preserve">Dani vacation </t>
  </si>
  <si>
    <t>Goswami  &amp; Hassett &amp; Bolt</t>
  </si>
  <si>
    <t xml:space="preserve">December </t>
  </si>
  <si>
    <t>Abubkar taken off of consults to cover for Bates in Akron</t>
  </si>
  <si>
    <t xml:space="preserve">Goswami Epilepsy Consult </t>
  </si>
  <si>
    <t>Sabhawal</t>
  </si>
  <si>
    <t>Aubakr</t>
  </si>
  <si>
    <t xml:space="preserve">Total 2025 Service </t>
  </si>
  <si>
    <t xml:space="preserve">Main Wkday Nights </t>
  </si>
  <si>
    <t>Main Wknd Nights</t>
  </si>
  <si>
    <t>(1 moonlighting weekend)</t>
  </si>
  <si>
    <t>(Maternity Leave + leave )</t>
  </si>
  <si>
    <t>Night Wknd deficit</t>
  </si>
  <si>
    <t>Night Weekday Deficit</t>
  </si>
  <si>
    <t>"High Weeks"</t>
  </si>
  <si>
    <t>"High Weekends"</t>
  </si>
  <si>
    <t>% High weeks</t>
  </si>
  <si>
    <t>% High Weekends</t>
  </si>
  <si>
    <t>"High Weeks" = G + H</t>
  </si>
  <si>
    <t>"High Weekends" =Main</t>
  </si>
  <si>
    <t>Minimum Based on CC wRVU</t>
  </si>
  <si>
    <t>99291 = 4.5 wRVUs</t>
  </si>
  <si>
    <t>Current</t>
  </si>
  <si>
    <t>Akron assessed</t>
  </si>
  <si>
    <t>Staff Involved</t>
  </si>
  <si>
    <t>Dates Exchanged</t>
  </si>
  <si>
    <t>Services Exchanged</t>
  </si>
  <si>
    <t>Approved</t>
  </si>
  <si>
    <t>i.e Gomes + Bates</t>
  </si>
  <si>
    <t xml:space="preserve">10/24/25 week for 11/24/25 week </t>
  </si>
  <si>
    <t>H22 for G20</t>
  </si>
  <si>
    <t>Yes</t>
  </si>
  <si>
    <t>Example</t>
  </si>
  <si>
    <t xml:space="preserve">Abubakr + Sabharwal </t>
  </si>
  <si>
    <t>July 14-18 (waiting to hear back from Sabharwal for a week Abubakr can take)</t>
  </si>
  <si>
    <t xml:space="preserve">week swap </t>
  </si>
  <si>
    <t>Removing Hassett</t>
  </si>
  <si>
    <t xml:space="preserve">Removed Hassett from nights May 19-22 per email </t>
  </si>
  <si>
    <t>Dani and Bates</t>
  </si>
  <si>
    <t>Dr. Bates will cover Dr. Danis consults for July 24 &amp; July 25</t>
  </si>
  <si>
    <t xml:space="preserve">waiting to hear back </t>
  </si>
  <si>
    <t>Goswami &amp; Abubakr</t>
  </si>
  <si>
    <t>Dr. Abubakr will cover Dr. Goswami the weekend of April 18 19 &amp; Abubakr will take 6/13-14</t>
  </si>
  <si>
    <t>Goswami &amp; Dani</t>
  </si>
  <si>
    <t>Dr. Goswami will take April 25 &amp; 26 and Dr. Dani will cover April 18 &amp; 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</si>
</sst>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16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b/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color theme="9"/>
      <name val="Aptos Narrow"/>
      <family val="2"/>
      <scheme val="minor"/>
    </font>
    <font>
      <strike/>
      <sz val="11"/>
      <color theme="1"/>
      <name val="Aptos Narrow"/>
      <family val="2"/>
      <scheme val="minor"/>
    </font>
    <font>
      <sz val="11"/>
      <color theme="3" tint="0.499984740745262"/>
      <name val="Aptos Narrow"/>
      <family val="2"/>
      <scheme val="minor"/>
    </font>
    <font>
      <sz val="11"/>
      <color theme="3" tint="0.249977111117893"/>
      <name val="Aptos Narrow"/>
      <family val="2"/>
      <scheme val="minor"/>
    </font>
    <font>
      <sz val="11"/>
      <color rgb="FFFF0000"/>
      <name val="Calibri"/>
      <family val="2"/>
    </font>
    <font>
      <sz val="11"/>
      <name val="Calibri"/>
      <family val="2"/>
    </font>
  </fonts>
  <fills count="28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9933"/>
        <bgColor rgb="FF000000"/>
      </patternFill>
    </fill>
    <fill>
      <patternFill patternType="solid">
        <fgColor rgb="FF00FF99"/>
        <bgColor rgb="FF000000"/>
      </patternFill>
    </fill>
    <fill>
      <patternFill patternType="solid">
        <fgColor rgb="FF99CCFF"/>
        <bgColor rgb="FF000000"/>
      </patternFill>
    </fill>
    <fill>
      <patternFill patternType="solid">
        <fgColor rgb="FFF07D7D"/>
        <bgColor rgb="FF000000"/>
      </patternFill>
    </fill>
    <fill>
      <patternFill patternType="solid">
        <fgColor rgb="FF99FF33"/>
        <bgColor rgb="FF000000"/>
      </patternFill>
    </fill>
    <fill>
      <patternFill patternType="solid">
        <fgColor rgb="FFFFFFCC"/>
        <bgColor rgb="FF000000"/>
      </patternFill>
    </fill>
    <fill>
      <patternFill patternType="solid">
        <fgColor rgb="FFA9D08E"/>
        <bgColor rgb="FF000000"/>
      </patternFill>
    </fill>
    <fill>
      <patternFill patternType="solid">
        <fgColor rgb="FFFF66CC"/>
        <bgColor rgb="FF000000"/>
      </patternFill>
    </fill>
    <fill>
      <patternFill patternType="solid">
        <fgColor rgb="FF9966FF"/>
        <bgColor rgb="FF000000"/>
      </patternFill>
    </fill>
    <fill>
      <patternFill patternType="solid">
        <fgColor rgb="FF33CCCC"/>
        <bgColor rgb="FF000000"/>
      </patternFill>
    </fill>
    <fill>
      <patternFill patternType="solid">
        <fgColor rgb="FFC9C9C9"/>
        <bgColor rgb="FF000000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1">
    <xf numFmtId="0" fontId="0" fillId="0" borderId="0"/>
  </cellStyleXfs>
  <cellXfs count="157">
    <xf numFmtId="0" fontId="0" fillId="0" borderId="0" xfId="0"/>
    <xf numFmtId="164" fontId="0" fillId="0" borderId="0" xfId="0" applyNumberFormat="1" applyAlignment="1">
      <alignment horizontal="center"/>
    </xf>
    <xf numFmtId="164" fontId="0" fillId="3" borderId="1" xfId="0" applyNumberFormat="1" applyFill="1" applyBorder="1" applyAlignment="1">
      <alignment horizontal="center"/>
    </xf>
    <xf numFmtId="0" fontId="0" fillId="3" borderId="1" xfId="0" applyFill="1" applyBorder="1"/>
    <xf numFmtId="0" fontId="0" fillId="0" borderId="1" xfId="0" applyBorder="1"/>
    <xf numFmtId="0" fontId="0" fillId="5" borderId="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164" fontId="0" fillId="4" borderId="1" xfId="0" applyNumberFormat="1" applyFill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4" fontId="0" fillId="2" borderId="1" xfId="0" applyNumberFormat="1" applyFill="1" applyBorder="1" applyAlignment="1">
      <alignment horizontal="center"/>
    </xf>
    <xf numFmtId="0" fontId="0" fillId="4" borderId="1" xfId="0" applyFill="1" applyBorder="1"/>
    <xf numFmtId="0" fontId="0" fillId="6" borderId="1" xfId="0" applyFill="1" applyBorder="1"/>
    <xf numFmtId="0" fontId="2" fillId="3" borderId="1" xfId="0" applyFont="1" applyFill="1" applyBorder="1" applyAlignment="1">
      <alignment wrapText="1"/>
    </xf>
    <xf numFmtId="0" fontId="0" fillId="7" borderId="0" xfId="0" applyFill="1"/>
    <xf numFmtId="0" fontId="0" fillId="7" borderId="0" xfId="0" applyFill="1" applyAlignment="1">
      <alignment horizontal="center"/>
    </xf>
    <xf numFmtId="0" fontId="0" fillId="7" borderId="2" xfId="0" applyFill="1" applyBorder="1" applyAlignment="1">
      <alignment horizontal="center"/>
    </xf>
    <xf numFmtId="0" fontId="3" fillId="0" borderId="1" xfId="0" applyFont="1" applyBorder="1"/>
    <xf numFmtId="0" fontId="3" fillId="4" borderId="1" xfId="0" applyFont="1" applyFill="1" applyBorder="1"/>
    <xf numFmtId="0" fontId="0" fillId="3" borderId="0" xfId="0" applyFill="1"/>
    <xf numFmtId="0" fontId="0" fillId="8" borderId="1" xfId="0" applyFill="1" applyBorder="1"/>
    <xf numFmtId="0" fontId="0" fillId="0" borderId="3" xfId="0" applyBorder="1"/>
    <xf numFmtId="0" fontId="4" fillId="9" borderId="2" xfId="0" applyFont="1" applyFill="1" applyBorder="1" applyAlignment="1">
      <alignment horizontal="center"/>
    </xf>
    <xf numFmtId="0" fontId="5" fillId="0" borderId="0" xfId="0" applyFont="1"/>
    <xf numFmtId="0" fontId="0" fillId="7" borderId="1" xfId="0" applyFill="1" applyBorder="1"/>
    <xf numFmtId="0" fontId="0" fillId="7" borderId="1" xfId="0" applyFill="1" applyBorder="1" applyAlignment="1">
      <alignment horizontal="center"/>
    </xf>
    <xf numFmtId="0" fontId="0" fillId="7" borderId="4" xfId="0" applyFill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9" borderId="4" xfId="0" applyFont="1" applyFill="1" applyBorder="1" applyAlignment="1">
      <alignment horizontal="center"/>
    </xf>
    <xf numFmtId="0" fontId="0" fillId="9" borderId="4" xfId="0" applyFill="1" applyBorder="1" applyAlignment="1">
      <alignment horizontal="center"/>
    </xf>
    <xf numFmtId="0" fontId="0" fillId="9" borderId="5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9" borderId="2" xfId="0" applyFill="1" applyBorder="1" applyAlignment="1">
      <alignment horizontal="center"/>
    </xf>
    <xf numFmtId="0" fontId="6" fillId="10" borderId="0" xfId="0" applyFont="1" applyFill="1" applyAlignment="1">
      <alignment horizontal="center" vertical="center"/>
    </xf>
    <xf numFmtId="0" fontId="6" fillId="10" borderId="0" xfId="0" applyFont="1" applyFill="1" applyAlignment="1">
      <alignment horizontal="center"/>
    </xf>
    <xf numFmtId="0" fontId="6" fillId="11" borderId="0" xfId="0" applyFont="1" applyFill="1" applyAlignment="1">
      <alignment horizontal="center" vertical="center"/>
    </xf>
    <xf numFmtId="0" fontId="6" fillId="11" borderId="0" xfId="0" applyFont="1" applyFill="1" applyAlignment="1">
      <alignment horizontal="center"/>
    </xf>
    <xf numFmtId="0" fontId="6" fillId="12" borderId="0" xfId="0" applyFont="1" applyFill="1" applyAlignment="1">
      <alignment horizontal="center" vertical="center"/>
    </xf>
    <xf numFmtId="0" fontId="6" fillId="12" borderId="0" xfId="0" applyFont="1" applyFill="1" applyAlignment="1">
      <alignment horizontal="center"/>
    </xf>
    <xf numFmtId="0" fontId="6" fillId="13" borderId="0" xfId="0" applyFont="1" applyFill="1" applyAlignment="1">
      <alignment horizontal="center" vertical="center"/>
    </xf>
    <xf numFmtId="0" fontId="6" fillId="13" borderId="0" xfId="0" applyFont="1" applyFill="1" applyAlignment="1">
      <alignment horizontal="center"/>
    </xf>
    <xf numFmtId="0" fontId="6" fillId="14" borderId="0" xfId="0" applyFont="1" applyFill="1" applyAlignment="1">
      <alignment horizontal="center" vertical="center"/>
    </xf>
    <xf numFmtId="0" fontId="6" fillId="14" borderId="0" xfId="0" applyFont="1" applyFill="1" applyAlignment="1">
      <alignment horizontal="center"/>
    </xf>
    <xf numFmtId="0" fontId="6" fillId="15" borderId="0" xfId="0" applyFont="1" applyFill="1" applyAlignment="1">
      <alignment horizontal="center" vertical="center"/>
    </xf>
    <xf numFmtId="0" fontId="6" fillId="15" borderId="0" xfId="0" applyFont="1" applyFill="1" applyAlignment="1">
      <alignment horizontal="center"/>
    </xf>
    <xf numFmtId="0" fontId="6" fillId="16" borderId="0" xfId="0" applyFont="1" applyFill="1" applyAlignment="1">
      <alignment horizontal="center" vertical="center"/>
    </xf>
    <xf numFmtId="0" fontId="6" fillId="16" borderId="0" xfId="0" applyFont="1" applyFill="1" applyAlignment="1">
      <alignment horizontal="center"/>
    </xf>
    <xf numFmtId="0" fontId="6" fillId="17" borderId="0" xfId="0" applyFont="1" applyFill="1" applyAlignment="1">
      <alignment horizontal="center" vertical="center"/>
    </xf>
    <xf numFmtId="0" fontId="6" fillId="17" borderId="0" xfId="0" applyFont="1" applyFill="1" applyAlignment="1">
      <alignment horizontal="center"/>
    </xf>
    <xf numFmtId="0" fontId="6" fillId="18" borderId="0" xfId="0" applyFont="1" applyFill="1" applyAlignment="1">
      <alignment horizontal="center" vertical="center"/>
    </xf>
    <xf numFmtId="0" fontId="6" fillId="18" borderId="0" xfId="0" applyFont="1" applyFill="1" applyAlignment="1">
      <alignment horizontal="center"/>
    </xf>
    <xf numFmtId="0" fontId="6" fillId="19" borderId="0" xfId="0" applyFont="1" applyFill="1" applyAlignment="1">
      <alignment horizontal="center" vertical="center"/>
    </xf>
    <xf numFmtId="0" fontId="6" fillId="19" borderId="0" xfId="0" applyFont="1" applyFill="1" applyAlignment="1">
      <alignment horizontal="center"/>
    </xf>
    <xf numFmtId="0" fontId="6" fillId="20" borderId="0" xfId="0" applyFont="1" applyFill="1" applyAlignment="1">
      <alignment horizontal="center" vertical="center"/>
    </xf>
    <xf numFmtId="0" fontId="6" fillId="20" borderId="0" xfId="0" applyFont="1" applyFill="1" applyAlignment="1">
      <alignment horizontal="center"/>
    </xf>
    <xf numFmtId="0" fontId="4" fillId="0" borderId="0" xfId="0" applyFont="1" applyAlignment="1">
      <alignment horizontal="center"/>
    </xf>
    <xf numFmtId="0" fontId="0" fillId="9" borderId="0" xfId="0" applyFill="1" applyAlignment="1">
      <alignment horizontal="center"/>
    </xf>
    <xf numFmtId="0" fontId="0" fillId="0" borderId="6" xfId="0" applyBorder="1"/>
    <xf numFmtId="0" fontId="0" fillId="0" borderId="7" xfId="0" applyBorder="1"/>
    <xf numFmtId="0" fontId="0" fillId="0" borderId="8" xfId="0" applyBorder="1" applyAlignment="1">
      <alignment wrapText="1"/>
    </xf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" xfId="0" applyBorder="1" applyAlignment="1">
      <alignment wrapText="1"/>
    </xf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 applyAlignment="1">
      <alignment wrapText="1"/>
    </xf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14" fontId="0" fillId="0" borderId="0" xfId="0" applyNumberFormat="1"/>
    <xf numFmtId="164" fontId="0" fillId="21" borderId="1" xfId="0" applyNumberFormat="1" applyFill="1" applyBorder="1" applyAlignment="1">
      <alignment horizontal="center"/>
    </xf>
    <xf numFmtId="0" fontId="0" fillId="0" borderId="21" xfId="0" applyBorder="1"/>
    <xf numFmtId="0" fontId="0" fillId="0" borderId="22" xfId="0" applyBorder="1"/>
    <xf numFmtId="0" fontId="0" fillId="21" borderId="1" xfId="0" applyFill="1" applyBorder="1"/>
    <xf numFmtId="164" fontId="0" fillId="22" borderId="1" xfId="0" applyNumberFormat="1" applyFill="1" applyBorder="1" applyAlignment="1">
      <alignment horizontal="center"/>
    </xf>
    <xf numFmtId="0" fontId="0" fillId="22" borderId="1" xfId="0" applyFill="1" applyBorder="1"/>
    <xf numFmtId="16" fontId="0" fillId="0" borderId="0" xfId="0" applyNumberFormat="1"/>
    <xf numFmtId="0" fontId="8" fillId="0" borderId="0" xfId="0" applyFont="1"/>
    <xf numFmtId="0" fontId="7" fillId="0" borderId="0" xfId="0" applyFont="1"/>
    <xf numFmtId="0" fontId="0" fillId="21" borderId="0" xfId="0" applyFill="1"/>
    <xf numFmtId="164" fontId="0" fillId="23" borderId="1" xfId="0" applyNumberFormat="1" applyFill="1" applyBorder="1" applyAlignment="1">
      <alignment horizontal="center"/>
    </xf>
    <xf numFmtId="0" fontId="0" fillId="23" borderId="1" xfId="0" applyFill="1" applyBorder="1"/>
    <xf numFmtId="164" fontId="0" fillId="23" borderId="11" xfId="0" applyNumberFormat="1" applyFill="1" applyBorder="1" applyAlignment="1">
      <alignment horizontal="center"/>
    </xf>
    <xf numFmtId="0" fontId="0" fillId="23" borderId="23" xfId="0" applyFill="1" applyBorder="1"/>
    <xf numFmtId="164" fontId="0" fillId="21" borderId="11" xfId="0" applyNumberFormat="1" applyFill="1" applyBorder="1" applyAlignment="1">
      <alignment horizontal="center"/>
    </xf>
    <xf numFmtId="0" fontId="0" fillId="21" borderId="25" xfId="0" applyFill="1" applyBorder="1"/>
    <xf numFmtId="0" fontId="0" fillId="21" borderId="23" xfId="0" applyFill="1" applyBorder="1"/>
    <xf numFmtId="0" fontId="0" fillId="23" borderId="26" xfId="0" applyFill="1" applyBorder="1"/>
    <xf numFmtId="0" fontId="0" fillId="23" borderId="24" xfId="0" applyFill="1" applyBorder="1"/>
    <xf numFmtId="0" fontId="0" fillId="23" borderId="1" xfId="0" applyFill="1" applyBorder="1" applyAlignment="1">
      <alignment horizontal="center"/>
    </xf>
    <xf numFmtId="0" fontId="0" fillId="24" borderId="1" xfId="0" applyFill="1" applyBorder="1" applyAlignment="1">
      <alignment horizontal="center"/>
    </xf>
    <xf numFmtId="164" fontId="0" fillId="24" borderId="1" xfId="0" applyNumberFormat="1" applyFill="1" applyBorder="1" applyAlignment="1">
      <alignment horizontal="center"/>
    </xf>
    <xf numFmtId="164" fontId="0" fillId="23" borderId="1" xfId="0" applyNumberFormat="1" applyFill="1" applyBorder="1" applyAlignment="1">
      <alignment horizontal="left"/>
    </xf>
    <xf numFmtId="0" fontId="0" fillId="23" borderId="1" xfId="0" applyFill="1" applyBorder="1" applyAlignment="1">
      <alignment horizontal="left"/>
    </xf>
    <xf numFmtId="0" fontId="0" fillId="23" borderId="0" xfId="0" applyFill="1"/>
    <xf numFmtId="164" fontId="0" fillId="25" borderId="1" xfId="0" applyNumberFormat="1" applyFill="1" applyBorder="1" applyAlignment="1">
      <alignment horizontal="center"/>
    </xf>
    <xf numFmtId="0" fontId="0" fillId="25" borderId="1" xfId="0" applyFill="1" applyBorder="1"/>
    <xf numFmtId="164" fontId="0" fillId="21" borderId="1" xfId="0" applyNumberFormat="1" applyFill="1" applyBorder="1" applyAlignment="1">
      <alignment horizontal="left"/>
    </xf>
    <xf numFmtId="0" fontId="0" fillId="21" borderId="3" xfId="0" applyFill="1" applyBorder="1"/>
    <xf numFmtId="0" fontId="9" fillId="0" borderId="0" xfId="0" applyFont="1"/>
    <xf numFmtId="0" fontId="4" fillId="21" borderId="1" xfId="0" applyFont="1" applyFill="1" applyBorder="1"/>
    <xf numFmtId="0" fontId="0" fillId="9" borderId="1" xfId="0" applyFill="1" applyBorder="1" applyAlignment="1">
      <alignment horizontal="center"/>
    </xf>
    <xf numFmtId="0" fontId="9" fillId="21" borderId="1" xfId="0" applyFont="1" applyFill="1" applyBorder="1"/>
    <xf numFmtId="0" fontId="0" fillId="0" borderId="26" xfId="0" applyBorder="1"/>
    <xf numFmtId="0" fontId="4" fillId="0" borderId="26" xfId="0" applyFont="1" applyBorder="1" applyAlignment="1">
      <alignment horizontal="center"/>
    </xf>
    <xf numFmtId="0" fontId="4" fillId="9" borderId="28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7" borderId="26" xfId="0" applyFill="1" applyBorder="1"/>
    <xf numFmtId="0" fontId="0" fillId="7" borderId="26" xfId="0" applyFill="1" applyBorder="1" applyAlignment="1">
      <alignment horizontal="center"/>
    </xf>
    <xf numFmtId="0" fontId="0" fillId="7" borderId="28" xfId="0" applyFill="1" applyBorder="1" applyAlignment="1">
      <alignment horizontal="center"/>
    </xf>
    <xf numFmtId="0" fontId="0" fillId="7" borderId="29" xfId="0" applyFill="1" applyBorder="1" applyAlignment="1">
      <alignment horizontal="center"/>
    </xf>
    <xf numFmtId="0" fontId="0" fillId="26" borderId="0" xfId="0" applyFill="1" applyAlignment="1">
      <alignment horizontal="center"/>
    </xf>
    <xf numFmtId="0" fontId="4" fillId="0" borderId="24" xfId="0" applyFont="1" applyBorder="1" applyAlignment="1">
      <alignment horizontal="center"/>
    </xf>
    <xf numFmtId="0" fontId="4" fillId="9" borderId="30" xfId="0" applyFont="1" applyFill="1" applyBorder="1" applyAlignment="1">
      <alignment horizontal="center"/>
    </xf>
    <xf numFmtId="0" fontId="10" fillId="9" borderId="1" xfId="0" applyFont="1" applyFill="1" applyBorder="1" applyAlignment="1">
      <alignment horizontal="center"/>
    </xf>
    <xf numFmtId="0" fontId="0" fillId="0" borderId="11" xfId="0" applyBorder="1" applyAlignment="1">
      <alignment horizontal="center"/>
    </xf>
    <xf numFmtId="0" fontId="4" fillId="9" borderId="31" xfId="0" applyFont="1" applyFill="1" applyBorder="1" applyAlignment="1">
      <alignment horizontal="center"/>
    </xf>
    <xf numFmtId="0" fontId="4" fillId="9" borderId="27" xfId="0" applyFont="1" applyFill="1" applyBorder="1" applyAlignment="1">
      <alignment horizontal="center"/>
    </xf>
    <xf numFmtId="0" fontId="4" fillId="9" borderId="32" xfId="0" applyFont="1" applyFill="1" applyBorder="1" applyAlignment="1">
      <alignment horizontal="center"/>
    </xf>
    <xf numFmtId="0" fontId="0" fillId="9" borderId="11" xfId="0" applyFill="1" applyBorder="1" applyAlignment="1">
      <alignment horizontal="center"/>
    </xf>
    <xf numFmtId="0" fontId="4" fillId="9" borderId="1" xfId="0" applyFont="1" applyFill="1" applyBorder="1" applyAlignment="1">
      <alignment horizontal="center"/>
    </xf>
    <xf numFmtId="0" fontId="7" fillId="0" borderId="21" xfId="0" applyFont="1" applyBorder="1"/>
    <xf numFmtId="0" fontId="7" fillId="0" borderId="3" xfId="0" applyFont="1" applyBorder="1"/>
    <xf numFmtId="0" fontId="7" fillId="0" borderId="22" xfId="0" applyFont="1" applyBorder="1"/>
    <xf numFmtId="0" fontId="11" fillId="21" borderId="1" xfId="0" applyFont="1" applyFill="1" applyBorder="1"/>
    <xf numFmtId="0" fontId="11" fillId="23" borderId="1" xfId="0" applyFont="1" applyFill="1" applyBorder="1"/>
    <xf numFmtId="164" fontId="11" fillId="23" borderId="1" xfId="0" applyNumberFormat="1" applyFont="1" applyFill="1" applyBorder="1" applyAlignment="1">
      <alignment horizontal="left"/>
    </xf>
    <xf numFmtId="164" fontId="9" fillId="21" borderId="1" xfId="0" applyNumberFormat="1" applyFont="1" applyFill="1" applyBorder="1" applyAlignment="1">
      <alignment horizontal="left"/>
    </xf>
    <xf numFmtId="0" fontId="11" fillId="24" borderId="1" xfId="0" applyFont="1" applyFill="1" applyBorder="1"/>
    <xf numFmtId="0" fontId="9" fillId="23" borderId="1" xfId="0" applyFont="1" applyFill="1" applyBorder="1"/>
    <xf numFmtId="0" fontId="11" fillId="22" borderId="1" xfId="0" applyFont="1" applyFill="1" applyBorder="1"/>
    <xf numFmtId="0" fontId="9" fillId="22" borderId="1" xfId="0" applyFont="1" applyFill="1" applyBorder="1"/>
    <xf numFmtId="0" fontId="9" fillId="0" borderId="1" xfId="0" applyFont="1" applyBorder="1"/>
    <xf numFmtId="0" fontId="9" fillId="9" borderId="1" xfId="0" applyFont="1" applyFill="1" applyBorder="1"/>
    <xf numFmtId="0" fontId="12" fillId="27" borderId="1" xfId="0" applyFont="1" applyFill="1" applyBorder="1"/>
    <xf numFmtId="0" fontId="13" fillId="23" borderId="1" xfId="0" applyFont="1" applyFill="1" applyBorder="1"/>
    <xf numFmtId="164" fontId="12" fillId="27" borderId="1" xfId="0" applyNumberFormat="1" applyFont="1" applyFill="1" applyBorder="1" applyAlignment="1">
      <alignment horizontal="left"/>
    </xf>
    <xf numFmtId="0" fontId="9" fillId="23" borderId="0" xfId="0" applyFont="1" applyFill="1"/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/>
    </xf>
    <xf numFmtId="2" fontId="0" fillId="0" borderId="0" xfId="0" applyNumberFormat="1"/>
    <xf numFmtId="0" fontId="14" fillId="14" borderId="0" xfId="0" applyFont="1" applyFill="1" applyAlignment="1">
      <alignment horizontal="center" vertical="center"/>
    </xf>
    <xf numFmtId="0" fontId="14" fillId="14" borderId="0" xfId="0" applyFont="1" applyFill="1" applyAlignment="1">
      <alignment horizontal="center"/>
    </xf>
    <xf numFmtId="2" fontId="9" fillId="0" borderId="0" xfId="0" applyNumberFormat="1" applyFont="1"/>
    <xf numFmtId="0" fontId="14" fillId="16" borderId="0" xfId="0" applyFont="1" applyFill="1" applyAlignment="1">
      <alignment horizontal="center" vertical="center"/>
    </xf>
    <xf numFmtId="0" fontId="14" fillId="16" borderId="0" xfId="0" applyFont="1" applyFill="1" applyAlignment="1">
      <alignment horizontal="center"/>
    </xf>
    <xf numFmtId="0" fontId="14" fillId="19" borderId="0" xfId="0" applyFont="1" applyFill="1" applyAlignment="1">
      <alignment horizontal="center" vertical="center"/>
    </xf>
    <xf numFmtId="0" fontId="14" fillId="19" borderId="0" xfId="0" applyFont="1" applyFill="1" applyAlignment="1">
      <alignment horizontal="center"/>
    </xf>
    <xf numFmtId="0" fontId="4" fillId="0" borderId="1" xfId="0" applyFont="1" applyBorder="1"/>
    <xf numFmtId="0" fontId="4" fillId="0" borderId="0" xfId="0" applyFont="1"/>
    <xf numFmtId="0" fontId="15" fillId="18" borderId="0" xfId="0" applyFont="1" applyFill="1" applyAlignment="1">
      <alignment horizontal="center" vertical="center"/>
    </xf>
    <xf numFmtId="0" fontId="15" fillId="18" borderId="0" xfId="0" applyFont="1" applyFill="1" applyAlignment="1">
      <alignment horizontal="center"/>
    </xf>
    <xf numFmtId="2" fontId="4" fillId="0" borderId="0" xfId="0" applyNumberFormat="1" applyFont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2FF9D6-5A47-47CF-81EF-AE27228711C4}">
  <dimension ref="A1:Q381"/>
  <sheetViews>
    <sheetView tabSelected="1" workbookViewId="0">
      <pane ySplit="1" topLeftCell="A149" activePane="bottomLeft" state="frozen"/>
      <selection pane="bottomLeft" activeCell="S141" sqref="S141"/>
    </sheetView>
  </sheetViews>
  <sheetFormatPr defaultRowHeight="15"/>
  <cols>
    <col min="1" max="1" width="30.140625" bestFit="1" customWidth="1"/>
    <col min="2" max="3" width="10.28515625" bestFit="1" customWidth="1"/>
    <col min="4" max="4" width="11.140625" bestFit="1" customWidth="1"/>
    <col min="5" max="5" width="11.28515625" bestFit="1" customWidth="1"/>
    <col min="6" max="6" width="13.7109375" bestFit="1" customWidth="1"/>
    <col min="7" max="8" width="13.7109375" customWidth="1"/>
    <col min="9" max="9" width="17.85546875" bestFit="1" customWidth="1"/>
    <col min="10" max="10" width="30.28515625" bestFit="1" customWidth="1"/>
    <col min="12" max="12" width="9.42578125" bestFit="1" customWidth="1"/>
    <col min="15" max="15" width="14.28515625" bestFit="1" customWidth="1"/>
    <col min="19" max="20" width="10.28515625" bestFit="1" customWidth="1"/>
  </cols>
  <sheetData>
    <row r="1" spans="1:14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N1" s="80" t="s">
        <v>10</v>
      </c>
    </row>
    <row r="2" spans="1:14">
      <c r="A2" s="93" t="s">
        <v>11</v>
      </c>
      <c r="B2" s="93" t="s">
        <v>11</v>
      </c>
      <c r="C2" s="93" t="s">
        <v>11</v>
      </c>
      <c r="D2" s="93" t="s">
        <v>11</v>
      </c>
      <c r="E2" s="93" t="s">
        <v>11</v>
      </c>
      <c r="F2" s="93" t="s">
        <v>11</v>
      </c>
      <c r="G2" s="93"/>
      <c r="H2" s="93"/>
      <c r="I2" s="93"/>
      <c r="J2" s="93" t="s">
        <v>11</v>
      </c>
      <c r="N2" s="80" t="s">
        <v>12</v>
      </c>
    </row>
    <row r="3" spans="1:14">
      <c r="A3" s="77">
        <v>46023</v>
      </c>
      <c r="B3" s="78" t="s">
        <v>13</v>
      </c>
      <c r="C3" s="78"/>
      <c r="D3" s="78" t="s">
        <v>14</v>
      </c>
      <c r="E3" s="78"/>
      <c r="F3" s="78"/>
      <c r="G3" s="78"/>
      <c r="H3" s="78"/>
      <c r="I3" s="78"/>
      <c r="J3" s="78" t="s">
        <v>15</v>
      </c>
      <c r="N3" s="81" t="s">
        <v>16</v>
      </c>
    </row>
    <row r="4" spans="1:14">
      <c r="A4" s="73">
        <v>46024</v>
      </c>
      <c r="B4" s="76" t="s">
        <v>13</v>
      </c>
      <c r="C4" s="76" t="s">
        <v>17</v>
      </c>
      <c r="D4" s="76" t="s">
        <v>14</v>
      </c>
      <c r="E4" s="76" t="s">
        <v>16</v>
      </c>
      <c r="F4" s="76"/>
      <c r="G4" s="76"/>
      <c r="H4" s="76"/>
      <c r="I4" s="76"/>
      <c r="J4" s="76" t="s">
        <v>15</v>
      </c>
      <c r="N4" s="81" t="s">
        <v>18</v>
      </c>
    </row>
    <row r="5" spans="1:14">
      <c r="A5" s="83">
        <v>46025</v>
      </c>
      <c r="B5" s="84" t="s">
        <v>19</v>
      </c>
      <c r="C5" s="84"/>
      <c r="D5" s="84" t="s">
        <v>14</v>
      </c>
      <c r="E5" s="84" t="s">
        <v>16</v>
      </c>
      <c r="F5" s="84"/>
      <c r="G5" s="84"/>
      <c r="H5" s="84"/>
      <c r="I5" s="84"/>
      <c r="J5" s="84" t="s">
        <v>20</v>
      </c>
      <c r="N5" t="s">
        <v>13</v>
      </c>
    </row>
    <row r="6" spans="1:14">
      <c r="A6" s="83">
        <v>46026</v>
      </c>
      <c r="B6" s="84" t="s">
        <v>21</v>
      </c>
      <c r="C6" s="84"/>
      <c r="D6" s="84" t="s">
        <v>14</v>
      </c>
      <c r="E6" s="84" t="s">
        <v>16</v>
      </c>
      <c r="F6" s="84"/>
      <c r="G6" s="84"/>
      <c r="H6" s="84"/>
      <c r="I6" s="84"/>
      <c r="J6" s="84" t="s">
        <v>20</v>
      </c>
      <c r="N6" s="81" t="s">
        <v>17</v>
      </c>
    </row>
    <row r="7" spans="1:14">
      <c r="A7" s="73">
        <v>46027</v>
      </c>
      <c r="B7" s="76" t="s">
        <v>19</v>
      </c>
      <c r="C7" s="76" t="s">
        <v>20</v>
      </c>
      <c r="D7" s="76" t="s">
        <v>22</v>
      </c>
      <c r="E7" s="76" t="s">
        <v>18</v>
      </c>
      <c r="F7" s="76"/>
      <c r="G7" s="76"/>
      <c r="H7" s="76"/>
      <c r="I7" s="76"/>
      <c r="J7" s="76"/>
      <c r="N7" t="s">
        <v>20</v>
      </c>
    </row>
    <row r="8" spans="1:14">
      <c r="A8" s="73">
        <v>46028</v>
      </c>
      <c r="B8" s="76" t="s">
        <v>19</v>
      </c>
      <c r="C8" s="76" t="s">
        <v>20</v>
      </c>
      <c r="D8" s="76" t="s">
        <v>22</v>
      </c>
      <c r="E8" s="4" t="s">
        <v>18</v>
      </c>
      <c r="F8" s="76"/>
      <c r="G8" s="76"/>
      <c r="H8" s="76"/>
      <c r="I8" s="76"/>
      <c r="J8" s="4"/>
      <c r="N8" s="81" t="s">
        <v>23</v>
      </c>
    </row>
    <row r="9" spans="1:14">
      <c r="A9" s="73">
        <v>46029</v>
      </c>
      <c r="B9" s="76" t="s">
        <v>19</v>
      </c>
      <c r="C9" s="76" t="s">
        <v>20</v>
      </c>
      <c r="D9" s="76" t="s">
        <v>22</v>
      </c>
      <c r="E9" s="76" t="s">
        <v>18</v>
      </c>
      <c r="F9" s="76"/>
      <c r="G9" s="76"/>
      <c r="H9" s="76"/>
      <c r="I9" s="76"/>
      <c r="J9" s="76"/>
      <c r="N9" s="81" t="s">
        <v>24</v>
      </c>
    </row>
    <row r="10" spans="1:14">
      <c r="A10" s="73">
        <v>46030</v>
      </c>
      <c r="B10" s="76" t="s">
        <v>19</v>
      </c>
      <c r="C10" s="76" t="s">
        <v>20</v>
      </c>
      <c r="D10" s="76" t="s">
        <v>22</v>
      </c>
      <c r="E10" s="76"/>
      <c r="F10" s="76"/>
      <c r="G10" s="76"/>
      <c r="H10" s="76"/>
      <c r="I10" s="76" t="s">
        <v>25</v>
      </c>
      <c r="J10" s="76"/>
      <c r="N10" s="81" t="s">
        <v>14</v>
      </c>
    </row>
    <row r="11" spans="1:14">
      <c r="A11" s="73">
        <v>46031</v>
      </c>
      <c r="B11" s="76" t="s">
        <v>19</v>
      </c>
      <c r="C11" s="76" t="s">
        <v>20</v>
      </c>
      <c r="D11" s="76" t="s">
        <v>22</v>
      </c>
      <c r="E11" s="76"/>
      <c r="F11" s="76"/>
      <c r="G11" s="76"/>
      <c r="H11" s="76"/>
      <c r="I11" s="76" t="s">
        <v>18</v>
      </c>
      <c r="J11" s="76"/>
      <c r="N11" s="81" t="s">
        <v>26</v>
      </c>
    </row>
    <row r="12" spans="1:14">
      <c r="A12" s="83">
        <v>46032</v>
      </c>
      <c r="B12" s="137" t="s">
        <v>16</v>
      </c>
      <c r="C12" s="84"/>
      <c r="D12" s="84" t="s">
        <v>22</v>
      </c>
      <c r="E12" s="84"/>
      <c r="F12" s="84"/>
      <c r="G12" s="84"/>
      <c r="H12" s="84"/>
      <c r="I12" s="84"/>
      <c r="J12" s="84"/>
      <c r="N12" s="81" t="s">
        <v>19</v>
      </c>
    </row>
    <row r="13" spans="1:14">
      <c r="A13" s="83">
        <v>46033</v>
      </c>
      <c r="B13" s="137" t="s">
        <v>13</v>
      </c>
      <c r="C13" s="84"/>
      <c r="D13" s="84" t="s">
        <v>22</v>
      </c>
      <c r="E13" s="84"/>
      <c r="F13" s="84"/>
      <c r="G13" s="84"/>
      <c r="H13" s="84"/>
      <c r="I13" s="84"/>
      <c r="J13" s="84"/>
      <c r="N13" t="s">
        <v>27</v>
      </c>
    </row>
    <row r="14" spans="1:14">
      <c r="A14" s="73">
        <v>46034</v>
      </c>
      <c r="B14" s="76" t="s">
        <v>17</v>
      </c>
      <c r="C14" s="105" t="s">
        <v>14</v>
      </c>
      <c r="D14" s="76" t="s">
        <v>13</v>
      </c>
      <c r="E14" s="76" t="s">
        <v>16</v>
      </c>
      <c r="F14" s="127" t="s">
        <v>14</v>
      </c>
      <c r="G14" s="127"/>
      <c r="H14" s="76"/>
      <c r="I14" s="76"/>
      <c r="J14" s="76"/>
    </row>
    <row r="15" spans="1:14">
      <c r="A15" s="73">
        <v>46035</v>
      </c>
      <c r="B15" s="76" t="s">
        <v>17</v>
      </c>
      <c r="C15" s="105" t="s">
        <v>14</v>
      </c>
      <c r="D15" s="76" t="s">
        <v>13</v>
      </c>
      <c r="E15" s="76" t="s">
        <v>16</v>
      </c>
      <c r="F15" s="127" t="s">
        <v>14</v>
      </c>
      <c r="G15" s="127"/>
      <c r="H15" s="76"/>
      <c r="I15" s="76"/>
      <c r="J15" s="76"/>
    </row>
    <row r="16" spans="1:14">
      <c r="A16" s="73">
        <v>46036</v>
      </c>
      <c r="B16" s="76" t="s">
        <v>17</v>
      </c>
      <c r="C16" s="105" t="s">
        <v>14</v>
      </c>
      <c r="D16" s="76" t="s">
        <v>13</v>
      </c>
      <c r="E16" s="76" t="s">
        <v>16</v>
      </c>
      <c r="F16" s="127" t="s">
        <v>14</v>
      </c>
      <c r="G16" s="127"/>
      <c r="H16" s="76"/>
      <c r="I16" s="76"/>
      <c r="J16" s="76"/>
    </row>
    <row r="17" spans="1:13">
      <c r="A17" s="73">
        <v>46037</v>
      </c>
      <c r="B17" s="76" t="s">
        <v>17</v>
      </c>
      <c r="C17" s="105" t="s">
        <v>14</v>
      </c>
      <c r="D17" s="76" t="s">
        <v>13</v>
      </c>
      <c r="E17" s="76" t="s">
        <v>18</v>
      </c>
      <c r="F17" s="127" t="s">
        <v>14</v>
      </c>
      <c r="G17" s="127"/>
      <c r="H17" s="76"/>
      <c r="I17" s="76" t="s">
        <v>16</v>
      </c>
      <c r="J17" s="76"/>
    </row>
    <row r="18" spans="1:13">
      <c r="A18" s="73">
        <v>46038</v>
      </c>
      <c r="B18" s="76" t="s">
        <v>17</v>
      </c>
      <c r="C18" s="105" t="s">
        <v>14</v>
      </c>
      <c r="D18" s="76" t="s">
        <v>13</v>
      </c>
      <c r="E18" s="76" t="s">
        <v>18</v>
      </c>
      <c r="F18" s="127" t="s">
        <v>14</v>
      </c>
      <c r="G18" s="127"/>
      <c r="H18" s="76"/>
      <c r="I18" s="76" t="s">
        <v>16</v>
      </c>
      <c r="J18" s="76"/>
    </row>
    <row r="19" spans="1:13">
      <c r="A19" s="83">
        <v>46039</v>
      </c>
      <c r="B19" s="84" t="s">
        <v>17</v>
      </c>
      <c r="C19" s="84"/>
      <c r="D19" s="84" t="s">
        <v>13</v>
      </c>
      <c r="E19" s="84" t="s">
        <v>18</v>
      </c>
      <c r="F19" s="84"/>
      <c r="G19" s="84"/>
      <c r="H19" s="84"/>
      <c r="I19" s="84"/>
      <c r="J19" s="84"/>
    </row>
    <row r="20" spans="1:13">
      <c r="A20" s="83">
        <v>46040</v>
      </c>
      <c r="B20" s="84" t="s">
        <v>17</v>
      </c>
      <c r="C20" s="84"/>
      <c r="D20" s="84" t="s">
        <v>13</v>
      </c>
      <c r="E20" s="84" t="s">
        <v>18</v>
      </c>
      <c r="F20" s="84"/>
      <c r="G20" s="84"/>
      <c r="H20" s="84"/>
      <c r="I20" s="84"/>
      <c r="J20" s="84"/>
    </row>
    <row r="21" spans="1:13">
      <c r="A21" s="73">
        <v>46041</v>
      </c>
      <c r="B21" s="76" t="s">
        <v>20</v>
      </c>
      <c r="C21" s="76" t="s">
        <v>22</v>
      </c>
      <c r="D21" s="76" t="s">
        <v>14</v>
      </c>
      <c r="E21" s="76"/>
      <c r="F21" s="76"/>
      <c r="G21" s="76"/>
      <c r="H21" s="76"/>
      <c r="I21" s="76" t="s">
        <v>18</v>
      </c>
      <c r="J21" s="76"/>
      <c r="K21" t="s">
        <v>17</v>
      </c>
    </row>
    <row r="22" spans="1:13">
      <c r="A22" s="73">
        <v>46042</v>
      </c>
      <c r="B22" s="76" t="s">
        <v>20</v>
      </c>
      <c r="C22" s="76" t="s">
        <v>22</v>
      </c>
      <c r="D22" s="76" t="s">
        <v>14</v>
      </c>
      <c r="E22" s="76"/>
      <c r="F22" s="76"/>
      <c r="G22" s="76"/>
      <c r="H22" s="76"/>
      <c r="I22" s="76" t="s">
        <v>18</v>
      </c>
      <c r="J22" s="76"/>
      <c r="K22" t="s">
        <v>17</v>
      </c>
    </row>
    <row r="23" spans="1:13">
      <c r="A23" s="73">
        <v>46043</v>
      </c>
      <c r="B23" s="76" t="s">
        <v>20</v>
      </c>
      <c r="C23" s="76" t="s">
        <v>22</v>
      </c>
      <c r="D23" s="76" t="s">
        <v>14</v>
      </c>
      <c r="E23" s="76"/>
      <c r="F23" s="76"/>
      <c r="G23" s="76"/>
      <c r="H23" s="76"/>
      <c r="I23" s="76" t="s">
        <v>18</v>
      </c>
      <c r="J23" s="76"/>
      <c r="K23" t="s">
        <v>17</v>
      </c>
    </row>
    <row r="24" spans="1:13">
      <c r="A24" s="73">
        <v>46044</v>
      </c>
      <c r="B24" s="76" t="s">
        <v>20</v>
      </c>
      <c r="C24" s="76" t="s">
        <v>22</v>
      </c>
      <c r="D24" s="76" t="s">
        <v>14</v>
      </c>
      <c r="E24" s="76" t="s">
        <v>16</v>
      </c>
      <c r="F24" s="76"/>
      <c r="G24" s="76"/>
      <c r="H24" s="76"/>
      <c r="I24" s="76" t="s">
        <v>25</v>
      </c>
      <c r="J24" s="76"/>
      <c r="K24" t="s">
        <v>17</v>
      </c>
      <c r="M24" s="81"/>
    </row>
    <row r="25" spans="1:13">
      <c r="A25" s="73">
        <v>46045</v>
      </c>
      <c r="B25" s="76" t="s">
        <v>20</v>
      </c>
      <c r="C25" s="76" t="s">
        <v>22</v>
      </c>
      <c r="D25" s="76" t="s">
        <v>14</v>
      </c>
      <c r="E25" s="76" t="s">
        <v>16</v>
      </c>
      <c r="F25" s="76"/>
      <c r="G25" s="76"/>
      <c r="H25" s="76"/>
      <c r="I25" s="76" t="s">
        <v>25</v>
      </c>
      <c r="J25" s="76"/>
      <c r="K25" t="s">
        <v>17</v>
      </c>
      <c r="M25" s="81"/>
    </row>
    <row r="26" spans="1:13">
      <c r="A26" s="83">
        <v>46046</v>
      </c>
      <c r="B26" s="84" t="s">
        <v>22</v>
      </c>
      <c r="C26" s="84"/>
      <c r="D26" s="84" t="s">
        <v>14</v>
      </c>
      <c r="E26" s="84" t="s">
        <v>16</v>
      </c>
      <c r="F26" s="84"/>
      <c r="G26" s="84"/>
      <c r="H26" s="84"/>
      <c r="I26" s="84"/>
      <c r="J26" s="84"/>
      <c r="M26" s="81"/>
    </row>
    <row r="27" spans="1:13">
      <c r="A27" s="83">
        <v>46047</v>
      </c>
      <c r="B27" s="84" t="s">
        <v>22</v>
      </c>
      <c r="C27" s="84"/>
      <c r="D27" s="84" t="s">
        <v>14</v>
      </c>
      <c r="E27" s="84" t="s">
        <v>16</v>
      </c>
      <c r="F27" s="84"/>
      <c r="G27" s="84"/>
      <c r="H27" s="84"/>
      <c r="I27" s="84"/>
      <c r="J27" s="84"/>
    </row>
    <row r="28" spans="1:13">
      <c r="A28" s="73">
        <v>46048</v>
      </c>
      <c r="B28" s="4" t="s">
        <v>17</v>
      </c>
      <c r="C28" s="76" t="s">
        <v>13</v>
      </c>
      <c r="D28" s="76" t="s">
        <v>19</v>
      </c>
      <c r="E28" s="76" t="s">
        <v>18</v>
      </c>
      <c r="F28" s="76"/>
      <c r="G28" s="76"/>
      <c r="H28" s="76"/>
      <c r="I28" s="76" t="s">
        <v>16</v>
      </c>
      <c r="J28" s="76"/>
    </row>
    <row r="29" spans="1:13">
      <c r="A29" s="73">
        <v>46049</v>
      </c>
      <c r="B29" s="76" t="s">
        <v>17</v>
      </c>
      <c r="C29" s="76" t="s">
        <v>13</v>
      </c>
      <c r="D29" s="76" t="s">
        <v>19</v>
      </c>
      <c r="E29" s="76" t="s">
        <v>18</v>
      </c>
      <c r="F29" s="76"/>
      <c r="G29" s="76"/>
      <c r="H29" s="76"/>
      <c r="I29" s="76" t="s">
        <v>16</v>
      </c>
      <c r="J29" s="76"/>
    </row>
    <row r="30" spans="1:13">
      <c r="A30" s="73">
        <v>46050</v>
      </c>
      <c r="B30" s="105" t="s">
        <v>22</v>
      </c>
      <c r="C30" s="76" t="s">
        <v>13</v>
      </c>
      <c r="D30" s="76" t="s">
        <v>19</v>
      </c>
      <c r="E30" s="76" t="s">
        <v>18</v>
      </c>
      <c r="F30" s="76"/>
      <c r="G30" s="76"/>
      <c r="H30" s="76"/>
      <c r="I30" s="76" t="s">
        <v>16</v>
      </c>
      <c r="J30" s="73"/>
    </row>
    <row r="31" spans="1:13">
      <c r="A31" s="73">
        <v>46051</v>
      </c>
      <c r="B31" s="105" t="s">
        <v>22</v>
      </c>
      <c r="C31" s="76" t="s">
        <v>13</v>
      </c>
      <c r="D31" s="76" t="s">
        <v>19</v>
      </c>
      <c r="E31" s="76"/>
      <c r="F31" s="76"/>
      <c r="G31" s="76"/>
      <c r="H31" s="76"/>
      <c r="I31" s="76" t="s">
        <v>28</v>
      </c>
      <c r="J31" s="76"/>
    </row>
    <row r="32" spans="1:13">
      <c r="A32" s="73">
        <v>46052</v>
      </c>
      <c r="B32" s="76" t="s">
        <v>22</v>
      </c>
      <c r="C32" s="76" t="s">
        <v>13</v>
      </c>
      <c r="D32" s="76" t="s">
        <v>19</v>
      </c>
      <c r="E32" s="76"/>
      <c r="F32" s="76"/>
      <c r="G32" s="76"/>
      <c r="H32" s="76"/>
      <c r="I32" s="76" t="s">
        <v>28</v>
      </c>
      <c r="J32" s="76"/>
    </row>
    <row r="33" spans="1:13">
      <c r="A33" s="83">
        <v>46053</v>
      </c>
      <c r="B33" s="84" t="s">
        <v>17</v>
      </c>
      <c r="C33" s="84"/>
      <c r="D33" s="84" t="s">
        <v>19</v>
      </c>
      <c r="E33" s="84"/>
      <c r="F33" s="84"/>
      <c r="G33" s="84"/>
      <c r="H33" s="128" t="s">
        <v>22</v>
      </c>
      <c r="I33" s="84"/>
      <c r="J33" s="84"/>
      <c r="M33" s="81"/>
    </row>
    <row r="34" spans="1:13">
      <c r="A34" s="94" t="s">
        <v>29</v>
      </c>
      <c r="B34" s="94" t="s">
        <v>29</v>
      </c>
      <c r="C34" s="94" t="s">
        <v>29</v>
      </c>
      <c r="D34" s="94" t="s">
        <v>29</v>
      </c>
      <c r="E34" s="94" t="s">
        <v>29</v>
      </c>
      <c r="F34" s="94" t="s">
        <v>29</v>
      </c>
      <c r="G34" s="94"/>
      <c r="H34" s="94"/>
      <c r="I34" s="94"/>
      <c r="J34" s="94" t="s">
        <v>29</v>
      </c>
    </row>
    <row r="35" spans="1:13">
      <c r="A35" s="83">
        <v>46054</v>
      </c>
      <c r="B35" s="84" t="s">
        <v>17</v>
      </c>
      <c r="C35" s="84"/>
      <c r="D35" s="84" t="s">
        <v>19</v>
      </c>
      <c r="E35" s="84"/>
      <c r="F35" s="84"/>
      <c r="G35" s="84"/>
      <c r="H35" s="128" t="s">
        <v>22</v>
      </c>
      <c r="I35" s="84"/>
      <c r="J35" s="84"/>
    </row>
    <row r="36" spans="1:13">
      <c r="A36" s="73">
        <v>46055</v>
      </c>
      <c r="B36" s="76" t="s">
        <v>27</v>
      </c>
      <c r="C36" s="76" t="s">
        <v>14</v>
      </c>
      <c r="D36" s="76" t="s">
        <v>20</v>
      </c>
      <c r="E36" s="76" t="s">
        <v>16</v>
      </c>
      <c r="F36" s="76" t="s">
        <v>22</v>
      </c>
      <c r="G36" s="76"/>
      <c r="H36" s="76"/>
      <c r="I36" s="76"/>
      <c r="J36" s="76"/>
      <c r="M36" s="81"/>
    </row>
    <row r="37" spans="1:13">
      <c r="A37" s="73">
        <v>46056</v>
      </c>
      <c r="B37" s="76" t="s">
        <v>27</v>
      </c>
      <c r="C37" s="76" t="s">
        <v>14</v>
      </c>
      <c r="D37" s="76" t="s">
        <v>20</v>
      </c>
      <c r="E37" s="76" t="s">
        <v>16</v>
      </c>
      <c r="F37" s="76" t="s">
        <v>22</v>
      </c>
      <c r="G37" s="76"/>
      <c r="H37" s="76"/>
      <c r="I37" s="76"/>
      <c r="J37" s="76" t="s">
        <v>19</v>
      </c>
    </row>
    <row r="38" spans="1:13">
      <c r="A38" s="73">
        <v>46057</v>
      </c>
      <c r="B38" s="76" t="s">
        <v>27</v>
      </c>
      <c r="C38" s="76" t="s">
        <v>14</v>
      </c>
      <c r="D38" s="76" t="s">
        <v>20</v>
      </c>
      <c r="E38" s="76" t="s">
        <v>16</v>
      </c>
      <c r="F38" s="76" t="s">
        <v>22</v>
      </c>
      <c r="G38" s="76"/>
      <c r="H38" s="76"/>
      <c r="I38" s="76"/>
      <c r="J38" s="76" t="s">
        <v>19</v>
      </c>
    </row>
    <row r="39" spans="1:13">
      <c r="A39" s="73">
        <v>46058</v>
      </c>
      <c r="B39" s="76" t="s">
        <v>27</v>
      </c>
      <c r="C39" s="76" t="s">
        <v>14</v>
      </c>
      <c r="D39" s="76" t="s">
        <v>20</v>
      </c>
      <c r="E39" s="76" t="s">
        <v>18</v>
      </c>
      <c r="F39" s="76" t="s">
        <v>22</v>
      </c>
      <c r="G39" s="76"/>
      <c r="H39" s="76"/>
      <c r="I39" s="76" t="s">
        <v>16</v>
      </c>
      <c r="J39" s="76" t="s">
        <v>19</v>
      </c>
    </row>
    <row r="40" spans="1:13">
      <c r="A40" s="73">
        <v>46059</v>
      </c>
      <c r="B40" s="76" t="s">
        <v>27</v>
      </c>
      <c r="C40" s="76" t="s">
        <v>14</v>
      </c>
      <c r="D40" s="76" t="s">
        <v>20</v>
      </c>
      <c r="E40" s="76" t="s">
        <v>18</v>
      </c>
      <c r="F40" s="76" t="s">
        <v>22</v>
      </c>
      <c r="G40" s="76"/>
      <c r="H40" s="76"/>
      <c r="I40" s="76" t="s">
        <v>16</v>
      </c>
      <c r="J40" s="76" t="s">
        <v>19</v>
      </c>
    </row>
    <row r="41" spans="1:13">
      <c r="A41" s="83">
        <v>46060</v>
      </c>
      <c r="B41" s="97" t="s">
        <v>13</v>
      </c>
      <c r="C41" s="84"/>
      <c r="D41" s="84" t="s">
        <v>20</v>
      </c>
      <c r="E41" s="84" t="s">
        <v>18</v>
      </c>
      <c r="F41" s="84"/>
      <c r="G41" s="84"/>
      <c r="H41" s="84"/>
      <c r="I41" s="84"/>
      <c r="J41" s="84" t="s">
        <v>19</v>
      </c>
    </row>
    <row r="42" spans="1:13">
      <c r="A42" s="85">
        <v>46061</v>
      </c>
      <c r="B42" s="90" t="s">
        <v>13</v>
      </c>
      <c r="C42" s="86"/>
      <c r="D42" s="84" t="s">
        <v>20</v>
      </c>
      <c r="E42" s="84" t="s">
        <v>18</v>
      </c>
      <c r="F42" s="84"/>
      <c r="G42" s="84"/>
      <c r="H42" s="84"/>
      <c r="I42" s="84"/>
      <c r="J42" s="84"/>
    </row>
    <row r="43" spans="1:13">
      <c r="A43" s="87">
        <v>46062</v>
      </c>
      <c r="B43" s="4" t="s">
        <v>13</v>
      </c>
      <c r="C43" s="88" t="s">
        <v>27</v>
      </c>
      <c r="D43" s="76" t="s">
        <v>14</v>
      </c>
      <c r="E43" s="76"/>
      <c r="F43" s="76"/>
      <c r="G43" s="76"/>
      <c r="H43" s="76"/>
      <c r="I43" s="76" t="s">
        <v>18</v>
      </c>
      <c r="J43" s="76"/>
    </row>
    <row r="44" spans="1:13">
      <c r="A44" s="87">
        <v>46063</v>
      </c>
      <c r="B44" s="4" t="s">
        <v>13</v>
      </c>
      <c r="C44" s="89" t="s">
        <v>27</v>
      </c>
      <c r="D44" s="76" t="s">
        <v>14</v>
      </c>
      <c r="E44" s="76"/>
      <c r="F44" s="76"/>
      <c r="G44" s="76"/>
      <c r="H44" s="76"/>
      <c r="I44" s="76" t="s">
        <v>18</v>
      </c>
      <c r="J44" s="76"/>
    </row>
    <row r="45" spans="1:13">
      <c r="A45" s="87">
        <v>46064</v>
      </c>
      <c r="B45" s="4" t="s">
        <v>13</v>
      </c>
      <c r="C45" s="89" t="s">
        <v>27</v>
      </c>
      <c r="D45" s="76" t="s">
        <v>14</v>
      </c>
      <c r="E45" s="76"/>
      <c r="F45" s="76"/>
      <c r="G45" s="76"/>
      <c r="H45" s="76"/>
      <c r="I45" s="76" t="s">
        <v>18</v>
      </c>
      <c r="J45" s="76"/>
    </row>
    <row r="46" spans="1:13">
      <c r="A46" s="87">
        <v>46065</v>
      </c>
      <c r="B46" s="4" t="s">
        <v>13</v>
      </c>
      <c r="C46" s="89" t="s">
        <v>27</v>
      </c>
      <c r="D46" s="76" t="s">
        <v>14</v>
      </c>
      <c r="E46" s="76" t="s">
        <v>17</v>
      </c>
      <c r="F46" s="76"/>
      <c r="G46" s="76"/>
      <c r="H46" s="76"/>
      <c r="I46" s="76" t="s">
        <v>18</v>
      </c>
      <c r="J46" s="76"/>
    </row>
    <row r="47" spans="1:13">
      <c r="A47" s="87">
        <v>46066</v>
      </c>
      <c r="B47" s="4" t="s">
        <v>13</v>
      </c>
      <c r="C47" s="89" t="s">
        <v>27</v>
      </c>
      <c r="D47" s="76" t="s">
        <v>14</v>
      </c>
      <c r="E47" s="76" t="s">
        <v>17</v>
      </c>
      <c r="F47" s="76"/>
      <c r="G47" s="76"/>
      <c r="H47" s="76"/>
      <c r="I47" s="76" t="s">
        <v>18</v>
      </c>
      <c r="J47" s="76"/>
    </row>
    <row r="48" spans="1:13">
      <c r="A48" s="83">
        <v>46067</v>
      </c>
      <c r="B48" s="91" t="s">
        <v>27</v>
      </c>
      <c r="C48" s="84"/>
      <c r="D48" s="84" t="s">
        <v>16</v>
      </c>
      <c r="E48" s="84" t="s">
        <v>17</v>
      </c>
      <c r="F48" s="84"/>
      <c r="G48" s="84"/>
      <c r="H48" s="128" t="s">
        <v>19</v>
      </c>
      <c r="I48" s="84"/>
      <c r="J48" s="84"/>
    </row>
    <row r="49" spans="1:11">
      <c r="A49" s="83">
        <v>46068</v>
      </c>
      <c r="B49" s="84" t="s">
        <v>27</v>
      </c>
      <c r="C49" s="84"/>
      <c r="D49" s="84" t="s">
        <v>16</v>
      </c>
      <c r="E49" s="84" t="s">
        <v>17</v>
      </c>
      <c r="F49" s="84"/>
      <c r="G49" s="84"/>
      <c r="H49" s="128" t="s">
        <v>19</v>
      </c>
      <c r="I49" s="84"/>
      <c r="J49" s="84"/>
    </row>
    <row r="50" spans="1:11">
      <c r="A50" s="73">
        <v>46069</v>
      </c>
      <c r="B50" s="76" t="s">
        <v>16</v>
      </c>
      <c r="C50" s="76" t="s">
        <v>14</v>
      </c>
      <c r="D50" s="76" t="s">
        <v>18</v>
      </c>
      <c r="E50" s="76" t="s">
        <v>13</v>
      </c>
      <c r="F50" s="76"/>
      <c r="G50" s="76"/>
      <c r="H50" s="76"/>
      <c r="I50" s="76" t="s">
        <v>17</v>
      </c>
      <c r="J50" s="76"/>
      <c r="K50" t="s">
        <v>30</v>
      </c>
    </row>
    <row r="51" spans="1:11">
      <c r="A51" s="73">
        <v>46070</v>
      </c>
      <c r="B51" s="76" t="s">
        <v>16</v>
      </c>
      <c r="C51" s="76" t="s">
        <v>14</v>
      </c>
      <c r="D51" s="76" t="s">
        <v>18</v>
      </c>
      <c r="E51" s="76" t="s">
        <v>13</v>
      </c>
      <c r="F51" s="76"/>
      <c r="G51" s="76"/>
      <c r="H51" s="76"/>
      <c r="I51" s="76" t="s">
        <v>17</v>
      </c>
      <c r="J51" s="76"/>
      <c r="K51" t="s">
        <v>30</v>
      </c>
    </row>
    <row r="52" spans="1:11">
      <c r="A52" s="73">
        <v>46071</v>
      </c>
      <c r="B52" s="76" t="s">
        <v>16</v>
      </c>
      <c r="C52" s="76" t="s">
        <v>14</v>
      </c>
      <c r="D52" s="76" t="s">
        <v>18</v>
      </c>
      <c r="E52" s="76" t="s">
        <v>13</v>
      </c>
      <c r="F52" s="76"/>
      <c r="G52" s="76"/>
      <c r="H52" s="76"/>
      <c r="I52" s="76" t="s">
        <v>17</v>
      </c>
      <c r="J52" s="76"/>
      <c r="K52" t="s">
        <v>30</v>
      </c>
    </row>
    <row r="53" spans="1:11">
      <c r="A53" s="73">
        <v>46072</v>
      </c>
      <c r="B53" s="76" t="s">
        <v>16</v>
      </c>
      <c r="C53" s="76" t="s">
        <v>14</v>
      </c>
      <c r="D53" s="76" t="s">
        <v>18</v>
      </c>
      <c r="E53" s="76" t="s">
        <v>20</v>
      </c>
      <c r="F53" s="76"/>
      <c r="G53" s="76"/>
      <c r="H53" s="76"/>
      <c r="I53" s="76" t="s">
        <v>31</v>
      </c>
      <c r="J53" s="76"/>
      <c r="K53" t="s">
        <v>30</v>
      </c>
    </row>
    <row r="54" spans="1:11">
      <c r="A54" s="73">
        <v>46073</v>
      </c>
      <c r="B54" s="76" t="s">
        <v>16</v>
      </c>
      <c r="C54" s="76" t="s">
        <v>14</v>
      </c>
      <c r="D54" s="76" t="s">
        <v>18</v>
      </c>
      <c r="E54" s="76" t="s">
        <v>20</v>
      </c>
      <c r="F54" s="76"/>
      <c r="G54" s="76"/>
      <c r="H54" s="76"/>
      <c r="I54" s="76" t="s">
        <v>31</v>
      </c>
      <c r="J54" s="76"/>
      <c r="K54" t="s">
        <v>30</v>
      </c>
    </row>
    <row r="55" spans="1:11">
      <c r="A55" s="83">
        <v>46074</v>
      </c>
      <c r="B55" s="137" t="s">
        <v>16</v>
      </c>
      <c r="C55" s="84"/>
      <c r="D55" s="84" t="s">
        <v>18</v>
      </c>
      <c r="E55" s="84" t="s">
        <v>20</v>
      </c>
      <c r="F55" s="84"/>
      <c r="G55" s="84"/>
      <c r="H55" s="128" t="s">
        <v>14</v>
      </c>
      <c r="I55" s="84"/>
      <c r="J55" s="84"/>
      <c r="K55" t="s">
        <v>30</v>
      </c>
    </row>
    <row r="56" spans="1:11">
      <c r="A56" s="83">
        <v>46075</v>
      </c>
      <c r="B56" s="137" t="s">
        <v>16</v>
      </c>
      <c r="C56" s="84"/>
      <c r="D56" s="84" t="s">
        <v>18</v>
      </c>
      <c r="E56" s="84" t="s">
        <v>20</v>
      </c>
      <c r="F56" s="84"/>
      <c r="G56" s="84"/>
      <c r="H56" s="128" t="s">
        <v>14</v>
      </c>
      <c r="I56" s="84"/>
      <c r="J56" s="84"/>
      <c r="K56" t="s">
        <v>30</v>
      </c>
    </row>
    <row r="57" spans="1:11">
      <c r="A57" s="73">
        <v>46076</v>
      </c>
      <c r="B57" s="76" t="s">
        <v>22</v>
      </c>
      <c r="C57" s="76" t="s">
        <v>19</v>
      </c>
      <c r="D57" s="137" t="s">
        <v>18</v>
      </c>
      <c r="E57" s="76" t="s">
        <v>17</v>
      </c>
      <c r="F57" s="76"/>
      <c r="G57" s="76"/>
      <c r="H57" s="76"/>
      <c r="I57" s="76" t="s">
        <v>20</v>
      </c>
      <c r="J57" s="76"/>
      <c r="K57" t="s">
        <v>30</v>
      </c>
    </row>
    <row r="58" spans="1:11">
      <c r="A58" s="73">
        <v>46077</v>
      </c>
      <c r="B58" s="76" t="s">
        <v>22</v>
      </c>
      <c r="C58" s="76" t="s">
        <v>19</v>
      </c>
      <c r="D58" s="137" t="s">
        <v>18</v>
      </c>
      <c r="E58" s="76" t="s">
        <v>17</v>
      </c>
      <c r="F58" s="76"/>
      <c r="G58" s="76"/>
      <c r="H58" s="76"/>
      <c r="I58" s="76" t="s">
        <v>20</v>
      </c>
      <c r="J58" s="76"/>
      <c r="K58" t="s">
        <v>30</v>
      </c>
    </row>
    <row r="59" spans="1:11">
      <c r="A59" s="73">
        <v>46078</v>
      </c>
      <c r="B59" s="76" t="s">
        <v>22</v>
      </c>
      <c r="C59" s="76" t="s">
        <v>19</v>
      </c>
      <c r="D59" s="105" t="s">
        <v>16</v>
      </c>
      <c r="E59" s="76" t="s">
        <v>17</v>
      </c>
      <c r="F59" s="127" t="s">
        <v>16</v>
      </c>
      <c r="G59" s="127"/>
      <c r="H59" s="76"/>
      <c r="I59" s="76" t="s">
        <v>20</v>
      </c>
      <c r="J59" s="76"/>
      <c r="K59" t="s">
        <v>30</v>
      </c>
    </row>
    <row r="60" spans="1:11">
      <c r="A60" s="73">
        <v>46079</v>
      </c>
      <c r="B60" s="76" t="s">
        <v>22</v>
      </c>
      <c r="C60" s="76" t="s">
        <v>19</v>
      </c>
      <c r="D60" s="105" t="s">
        <v>16</v>
      </c>
      <c r="E60" s="76" t="s">
        <v>13</v>
      </c>
      <c r="F60" s="127" t="s">
        <v>16</v>
      </c>
      <c r="G60" s="127"/>
      <c r="H60" s="76"/>
      <c r="I60" s="76" t="s">
        <v>32</v>
      </c>
      <c r="J60" s="76"/>
      <c r="K60" t="s">
        <v>30</v>
      </c>
    </row>
    <row r="61" spans="1:11">
      <c r="A61" s="73">
        <v>46080</v>
      </c>
      <c r="B61" s="76" t="s">
        <v>22</v>
      </c>
      <c r="C61" s="76" t="s">
        <v>19</v>
      </c>
      <c r="D61" s="105" t="s">
        <v>16</v>
      </c>
      <c r="E61" s="76" t="s">
        <v>13</v>
      </c>
      <c r="F61" s="127" t="s">
        <v>16</v>
      </c>
      <c r="G61" s="127"/>
      <c r="H61" s="76"/>
      <c r="I61" s="76" t="s">
        <v>32</v>
      </c>
      <c r="J61" s="76"/>
      <c r="K61" t="s">
        <v>30</v>
      </c>
    </row>
    <row r="62" spans="1:11">
      <c r="A62" s="83">
        <v>46081</v>
      </c>
      <c r="B62" s="84" t="s">
        <v>19</v>
      </c>
      <c r="C62" s="84"/>
      <c r="D62" s="84" t="s">
        <v>22</v>
      </c>
      <c r="E62" s="84" t="s">
        <v>13</v>
      </c>
      <c r="F62" s="84"/>
      <c r="G62" s="84"/>
      <c r="H62" s="128" t="s">
        <v>16</v>
      </c>
      <c r="I62" s="84"/>
      <c r="J62" s="84"/>
      <c r="K62" t="s">
        <v>30</v>
      </c>
    </row>
    <row r="63" spans="1:11">
      <c r="A63" s="94" t="s">
        <v>33</v>
      </c>
      <c r="B63" s="94" t="s">
        <v>33</v>
      </c>
      <c r="C63" s="94" t="s">
        <v>33</v>
      </c>
      <c r="D63" s="94" t="s">
        <v>33</v>
      </c>
      <c r="E63" s="94" t="s">
        <v>33</v>
      </c>
      <c r="F63" s="94" t="s">
        <v>33</v>
      </c>
      <c r="G63" s="94"/>
      <c r="H63" s="94"/>
      <c r="I63" s="94"/>
      <c r="J63" s="94" t="s">
        <v>33</v>
      </c>
    </row>
    <row r="64" spans="1:11">
      <c r="A64" s="83">
        <v>46082</v>
      </c>
      <c r="B64" s="95" t="s">
        <v>19</v>
      </c>
      <c r="C64" s="83"/>
      <c r="D64" s="95" t="s">
        <v>22</v>
      </c>
      <c r="E64" s="84" t="s">
        <v>13</v>
      </c>
      <c r="F64" s="83"/>
      <c r="G64" s="83"/>
      <c r="H64" s="129" t="s">
        <v>16</v>
      </c>
      <c r="I64" s="83"/>
      <c r="J64" s="83"/>
      <c r="K64" t="s">
        <v>30</v>
      </c>
    </row>
    <row r="65" spans="1:16">
      <c r="A65" s="73">
        <v>46083</v>
      </c>
      <c r="B65" s="76" t="s">
        <v>27</v>
      </c>
      <c r="C65" s="76" t="s">
        <v>14</v>
      </c>
      <c r="D65" s="76" t="s">
        <v>18</v>
      </c>
      <c r="E65" s="76" t="s">
        <v>20</v>
      </c>
      <c r="F65" s="76"/>
      <c r="G65" s="76"/>
      <c r="H65" s="76"/>
      <c r="I65" s="76" t="s">
        <v>13</v>
      </c>
      <c r="J65" s="76"/>
    </row>
    <row r="66" spans="1:16">
      <c r="A66" s="73">
        <v>46084</v>
      </c>
      <c r="B66" s="76" t="s">
        <v>27</v>
      </c>
      <c r="C66" s="76" t="s">
        <v>14</v>
      </c>
      <c r="D66" s="76" t="s">
        <v>18</v>
      </c>
      <c r="E66" s="76" t="s">
        <v>20</v>
      </c>
      <c r="F66" s="76"/>
      <c r="G66" s="76"/>
      <c r="H66" s="76"/>
      <c r="I66" s="76" t="s">
        <v>13</v>
      </c>
      <c r="J66" s="76"/>
    </row>
    <row r="67" spans="1:16">
      <c r="A67" s="73">
        <v>46085</v>
      </c>
      <c r="B67" s="76" t="s">
        <v>27</v>
      </c>
      <c r="C67" s="76" t="s">
        <v>14</v>
      </c>
      <c r="D67" s="76" t="s">
        <v>18</v>
      </c>
      <c r="E67" s="76" t="s">
        <v>17</v>
      </c>
      <c r="F67" s="76"/>
      <c r="G67" s="76"/>
      <c r="H67" s="76"/>
      <c r="I67" s="76" t="s">
        <v>13</v>
      </c>
      <c r="J67" s="76" t="s">
        <v>22</v>
      </c>
    </row>
    <row r="68" spans="1:16">
      <c r="A68" s="73">
        <v>46086</v>
      </c>
      <c r="B68" s="76" t="s">
        <v>27</v>
      </c>
      <c r="C68" s="76" t="s">
        <v>14</v>
      </c>
      <c r="D68" s="76" t="s">
        <v>18</v>
      </c>
      <c r="E68" s="76" t="s">
        <v>17</v>
      </c>
      <c r="F68" s="76"/>
      <c r="G68" s="76"/>
      <c r="H68" s="76"/>
      <c r="I68" s="76" t="s">
        <v>34</v>
      </c>
      <c r="J68" s="76" t="s">
        <v>22</v>
      </c>
    </row>
    <row r="69" spans="1:16">
      <c r="A69" s="73">
        <v>46087</v>
      </c>
      <c r="B69" s="76" t="s">
        <v>27</v>
      </c>
      <c r="C69" s="76" t="s">
        <v>14</v>
      </c>
      <c r="D69" s="76" t="s">
        <v>18</v>
      </c>
      <c r="E69" s="76" t="s">
        <v>17</v>
      </c>
      <c r="F69" s="76"/>
      <c r="G69" s="76"/>
      <c r="H69" s="76"/>
      <c r="I69" s="76" t="s">
        <v>34</v>
      </c>
      <c r="J69" s="76" t="s">
        <v>22</v>
      </c>
      <c r="K69" t="s">
        <v>24</v>
      </c>
    </row>
    <row r="70" spans="1:16">
      <c r="A70" s="83">
        <v>46088</v>
      </c>
      <c r="B70" s="84" t="s">
        <v>14</v>
      </c>
      <c r="C70" s="84"/>
      <c r="D70" s="84" t="s">
        <v>27</v>
      </c>
      <c r="E70" s="84" t="s">
        <v>17</v>
      </c>
      <c r="F70" s="84"/>
      <c r="G70" s="84"/>
      <c r="H70" s="84"/>
      <c r="I70" s="84"/>
      <c r="J70" s="84" t="s">
        <v>22</v>
      </c>
      <c r="K70" t="s">
        <v>24</v>
      </c>
    </row>
    <row r="71" spans="1:16">
      <c r="A71" s="83">
        <v>46089</v>
      </c>
      <c r="B71" s="84" t="s">
        <v>14</v>
      </c>
      <c r="C71" s="84"/>
      <c r="D71" s="84" t="s">
        <v>27</v>
      </c>
      <c r="E71" s="84" t="s">
        <v>17</v>
      </c>
      <c r="F71" s="84"/>
      <c r="G71" s="84"/>
      <c r="H71" s="84"/>
      <c r="I71" s="84"/>
      <c r="J71" s="84" t="s">
        <v>22</v>
      </c>
      <c r="K71" t="s">
        <v>24</v>
      </c>
    </row>
    <row r="72" spans="1:16">
      <c r="A72" s="73">
        <v>46090</v>
      </c>
      <c r="B72" s="76" t="s">
        <v>16</v>
      </c>
      <c r="C72" s="105" t="s">
        <v>19</v>
      </c>
      <c r="D72" s="76" t="s">
        <v>18</v>
      </c>
      <c r="E72" s="76" t="s">
        <v>13</v>
      </c>
      <c r="F72" s="127" t="s">
        <v>19</v>
      </c>
      <c r="G72" s="127"/>
      <c r="H72" s="76"/>
      <c r="I72" s="76" t="s">
        <v>17</v>
      </c>
      <c r="J72" s="76" t="s">
        <v>35</v>
      </c>
      <c r="K72" t="s">
        <v>24</v>
      </c>
    </row>
    <row r="73" spans="1:16">
      <c r="A73" s="73">
        <v>46091</v>
      </c>
      <c r="B73" s="76" t="s">
        <v>16</v>
      </c>
      <c r="C73" s="105" t="s">
        <v>19</v>
      </c>
      <c r="D73" s="76" t="s">
        <v>18</v>
      </c>
      <c r="E73" s="76" t="s">
        <v>13</v>
      </c>
      <c r="F73" s="127" t="s">
        <v>19</v>
      </c>
      <c r="G73" s="127"/>
      <c r="H73" s="76"/>
      <c r="I73" s="76" t="s">
        <v>17</v>
      </c>
      <c r="J73" s="76" t="s">
        <v>35</v>
      </c>
      <c r="K73" t="s">
        <v>24</v>
      </c>
    </row>
    <row r="74" spans="1:16">
      <c r="A74" s="73">
        <v>46092</v>
      </c>
      <c r="B74" s="76" t="s">
        <v>16</v>
      </c>
      <c r="C74" s="105" t="s">
        <v>19</v>
      </c>
      <c r="D74" s="76" t="s">
        <v>18</v>
      </c>
      <c r="E74" s="76" t="s">
        <v>13</v>
      </c>
      <c r="F74" s="127" t="s">
        <v>19</v>
      </c>
      <c r="G74" s="127"/>
      <c r="H74" s="76"/>
      <c r="I74" s="76" t="s">
        <v>17</v>
      </c>
      <c r="J74" s="76" t="s">
        <v>35</v>
      </c>
      <c r="K74" t="s">
        <v>24</v>
      </c>
    </row>
    <row r="75" spans="1:16">
      <c r="A75" s="73">
        <v>46093</v>
      </c>
      <c r="B75" s="76" t="s">
        <v>16</v>
      </c>
      <c r="C75" s="105" t="s">
        <v>19</v>
      </c>
      <c r="D75" s="76" t="s">
        <v>18</v>
      </c>
      <c r="E75" s="76" t="s">
        <v>20</v>
      </c>
      <c r="F75" s="127" t="s">
        <v>19</v>
      </c>
      <c r="G75" s="127"/>
      <c r="H75" s="76"/>
      <c r="I75" s="76" t="s">
        <v>31</v>
      </c>
      <c r="J75" s="76" t="s">
        <v>35</v>
      </c>
      <c r="K75" t="s">
        <v>24</v>
      </c>
    </row>
    <row r="76" spans="1:16">
      <c r="A76" s="73">
        <v>46094</v>
      </c>
      <c r="B76" s="76" t="s">
        <v>16</v>
      </c>
      <c r="C76" s="105" t="s">
        <v>19</v>
      </c>
      <c r="D76" s="76" t="s">
        <v>18</v>
      </c>
      <c r="E76" s="76" t="s">
        <v>20</v>
      </c>
      <c r="F76" s="127" t="s">
        <v>19</v>
      </c>
      <c r="G76" s="127"/>
      <c r="H76" s="76"/>
      <c r="I76" s="76" t="s">
        <v>31</v>
      </c>
      <c r="J76" s="76" t="s">
        <v>35</v>
      </c>
      <c r="K76" t="s">
        <v>24</v>
      </c>
    </row>
    <row r="77" spans="1:16">
      <c r="A77" s="83">
        <v>46095</v>
      </c>
      <c r="B77" s="84" t="s">
        <v>22</v>
      </c>
      <c r="C77" s="84"/>
      <c r="D77" s="84" t="s">
        <v>19</v>
      </c>
      <c r="E77" s="84" t="s">
        <v>20</v>
      </c>
      <c r="F77" s="84"/>
      <c r="G77" s="84"/>
      <c r="H77" s="128" t="s">
        <v>18</v>
      </c>
      <c r="I77" s="84"/>
      <c r="J77" s="84"/>
      <c r="P77" s="81"/>
    </row>
    <row r="78" spans="1:16">
      <c r="A78" s="83">
        <v>46096</v>
      </c>
      <c r="B78" s="84" t="s">
        <v>22</v>
      </c>
      <c r="C78" s="84"/>
      <c r="D78" s="84" t="s">
        <v>19</v>
      </c>
      <c r="E78" s="84" t="s">
        <v>20</v>
      </c>
      <c r="F78" s="84"/>
      <c r="G78" s="84"/>
      <c r="H78" s="128" t="s">
        <v>18</v>
      </c>
      <c r="I78" s="84"/>
      <c r="J78" s="84"/>
      <c r="P78" s="81"/>
    </row>
    <row r="79" spans="1:16">
      <c r="A79" s="73">
        <v>46097</v>
      </c>
      <c r="B79" s="76" t="s">
        <v>14</v>
      </c>
      <c r="C79" s="76" t="s">
        <v>22</v>
      </c>
      <c r="D79" s="137" t="s">
        <v>18</v>
      </c>
      <c r="E79" s="76" t="s">
        <v>17</v>
      </c>
      <c r="F79" s="76"/>
      <c r="G79" s="76"/>
      <c r="H79" s="76"/>
      <c r="I79" s="76" t="s">
        <v>20</v>
      </c>
      <c r="J79" s="76" t="s">
        <v>36</v>
      </c>
      <c r="L79" t="s">
        <v>18</v>
      </c>
      <c r="N79" s="82" t="s">
        <v>37</v>
      </c>
    </row>
    <row r="80" spans="1:16">
      <c r="A80" s="73">
        <v>46098</v>
      </c>
      <c r="B80" s="76" t="s">
        <v>14</v>
      </c>
      <c r="C80" s="76" t="s">
        <v>22</v>
      </c>
      <c r="D80" s="137" t="s">
        <v>18</v>
      </c>
      <c r="E80" s="76" t="s">
        <v>17</v>
      </c>
      <c r="F80" s="76"/>
      <c r="G80" s="76"/>
      <c r="H80" s="76"/>
      <c r="I80" s="76" t="s">
        <v>20</v>
      </c>
      <c r="J80" s="76" t="s">
        <v>36</v>
      </c>
      <c r="L80" t="s">
        <v>18</v>
      </c>
    </row>
    <row r="81" spans="1:13">
      <c r="A81" s="73">
        <v>46099</v>
      </c>
      <c r="B81" s="76" t="s">
        <v>14</v>
      </c>
      <c r="C81" s="76" t="s">
        <v>22</v>
      </c>
      <c r="D81" s="137" t="s">
        <v>18</v>
      </c>
      <c r="E81" s="76" t="s">
        <v>17</v>
      </c>
      <c r="F81" s="76"/>
      <c r="G81" s="76"/>
      <c r="H81" s="76"/>
      <c r="I81" s="76" t="s">
        <v>20</v>
      </c>
      <c r="J81" s="76" t="s">
        <v>18</v>
      </c>
      <c r="L81" t="s">
        <v>18</v>
      </c>
    </row>
    <row r="82" spans="1:13">
      <c r="A82" s="73">
        <v>46100</v>
      </c>
      <c r="B82" s="76" t="s">
        <v>16</v>
      </c>
      <c r="C82" s="76" t="s">
        <v>22</v>
      </c>
      <c r="D82" s="137" t="s">
        <v>18</v>
      </c>
      <c r="E82" s="76" t="s">
        <v>13</v>
      </c>
      <c r="F82" s="76"/>
      <c r="G82" s="76"/>
      <c r="H82" s="76"/>
      <c r="I82" s="76" t="s">
        <v>32</v>
      </c>
      <c r="J82" s="76" t="s">
        <v>18</v>
      </c>
      <c r="L82" t="s">
        <v>18</v>
      </c>
    </row>
    <row r="83" spans="1:13">
      <c r="A83" s="73">
        <v>46101</v>
      </c>
      <c r="B83" s="76" t="s">
        <v>16</v>
      </c>
      <c r="C83" s="76" t="s">
        <v>22</v>
      </c>
      <c r="D83" s="137" t="s">
        <v>18</v>
      </c>
      <c r="E83" s="76" t="s">
        <v>13</v>
      </c>
      <c r="F83" s="76"/>
      <c r="G83" s="76"/>
      <c r="H83" s="76"/>
      <c r="I83" s="76" t="s">
        <v>32</v>
      </c>
      <c r="J83" s="76" t="s">
        <v>38</v>
      </c>
      <c r="L83" t="s">
        <v>18</v>
      </c>
    </row>
    <row r="84" spans="1:13">
      <c r="A84" s="85">
        <v>46102</v>
      </c>
      <c r="B84" s="84" t="s">
        <v>16</v>
      </c>
      <c r="C84" s="86"/>
      <c r="D84" s="137" t="s">
        <v>39</v>
      </c>
      <c r="E84" s="84" t="s">
        <v>13</v>
      </c>
      <c r="F84" s="84"/>
      <c r="G84" s="84"/>
      <c r="H84" s="84"/>
      <c r="I84" s="84"/>
      <c r="J84" s="84" t="s">
        <v>38</v>
      </c>
      <c r="L84" t="s">
        <v>18</v>
      </c>
      <c r="M84" t="s">
        <v>19</v>
      </c>
    </row>
    <row r="85" spans="1:13">
      <c r="A85" s="85">
        <v>46103</v>
      </c>
      <c r="B85" s="84" t="s">
        <v>16</v>
      </c>
      <c r="C85" s="86"/>
      <c r="D85" s="137" t="s">
        <v>39</v>
      </c>
      <c r="E85" s="84" t="s">
        <v>13</v>
      </c>
      <c r="F85" s="84"/>
      <c r="G85" s="84"/>
      <c r="H85" s="84"/>
      <c r="I85" s="84"/>
      <c r="J85" s="84" t="s">
        <v>19</v>
      </c>
      <c r="L85" t="s">
        <v>18</v>
      </c>
      <c r="M85" t="s">
        <v>19</v>
      </c>
    </row>
    <row r="86" spans="1:13">
      <c r="A86" s="73">
        <v>46104</v>
      </c>
      <c r="B86" s="76" t="s">
        <v>17</v>
      </c>
      <c r="C86" s="76" t="s">
        <v>16</v>
      </c>
      <c r="D86" s="76" t="s">
        <v>18</v>
      </c>
      <c r="E86" s="76" t="s">
        <v>20</v>
      </c>
      <c r="F86" s="76"/>
      <c r="G86" s="76"/>
      <c r="H86" s="76"/>
      <c r="I86" s="76" t="s">
        <v>13</v>
      </c>
      <c r="J86" s="76" t="s">
        <v>19</v>
      </c>
      <c r="K86" s="101" t="s">
        <v>13</v>
      </c>
      <c r="M86" t="s">
        <v>19</v>
      </c>
    </row>
    <row r="87" spans="1:13">
      <c r="A87" s="73">
        <v>46105</v>
      </c>
      <c r="B87" s="76" t="s">
        <v>17</v>
      </c>
      <c r="C87" s="76" t="s">
        <v>16</v>
      </c>
      <c r="D87" s="76" t="s">
        <v>18</v>
      </c>
      <c r="E87" s="76" t="s">
        <v>20</v>
      </c>
      <c r="F87" s="76"/>
      <c r="G87" s="76"/>
      <c r="H87" s="76"/>
      <c r="I87" s="76" t="s">
        <v>13</v>
      </c>
      <c r="J87" s="76" t="s">
        <v>19</v>
      </c>
      <c r="K87" s="101" t="s">
        <v>13</v>
      </c>
      <c r="M87" t="s">
        <v>19</v>
      </c>
    </row>
    <row r="88" spans="1:13">
      <c r="A88" s="73">
        <v>46106</v>
      </c>
      <c r="B88" s="76" t="s">
        <v>17</v>
      </c>
      <c r="C88" s="76" t="s">
        <v>16</v>
      </c>
      <c r="D88" s="76" t="s">
        <v>18</v>
      </c>
      <c r="E88" s="76" t="s">
        <v>20</v>
      </c>
      <c r="F88" s="76"/>
      <c r="G88" s="76"/>
      <c r="H88" s="76"/>
      <c r="I88" s="76" t="s">
        <v>13</v>
      </c>
      <c r="J88" s="76" t="s">
        <v>19</v>
      </c>
      <c r="K88" s="101" t="s">
        <v>13</v>
      </c>
      <c r="M88" t="s">
        <v>19</v>
      </c>
    </row>
    <row r="89" spans="1:13">
      <c r="A89" s="73">
        <v>46107</v>
      </c>
      <c r="B89" s="76" t="s">
        <v>17</v>
      </c>
      <c r="C89" s="76" t="s">
        <v>14</v>
      </c>
      <c r="D89" s="76" t="s">
        <v>18</v>
      </c>
      <c r="E89" s="76" t="s">
        <v>22</v>
      </c>
      <c r="F89" s="76"/>
      <c r="G89" s="76"/>
      <c r="H89" s="76"/>
      <c r="I89" s="76" t="s">
        <v>34</v>
      </c>
      <c r="J89" s="76" t="s">
        <v>19</v>
      </c>
      <c r="K89" s="101" t="s">
        <v>13</v>
      </c>
      <c r="M89" t="s">
        <v>19</v>
      </c>
    </row>
    <row r="90" spans="1:13">
      <c r="A90" s="73">
        <v>46108</v>
      </c>
      <c r="B90" s="76" t="s">
        <v>17</v>
      </c>
      <c r="C90" s="76" t="s">
        <v>14</v>
      </c>
      <c r="D90" s="76" t="s">
        <v>18</v>
      </c>
      <c r="E90" s="76" t="s">
        <v>22</v>
      </c>
      <c r="F90" s="76"/>
      <c r="G90" s="76"/>
      <c r="H90" s="76"/>
      <c r="I90" s="76" t="s">
        <v>34</v>
      </c>
      <c r="J90" s="76" t="s">
        <v>19</v>
      </c>
      <c r="K90" s="101" t="s">
        <v>13</v>
      </c>
      <c r="M90" t="s">
        <v>19</v>
      </c>
    </row>
    <row r="91" spans="1:13">
      <c r="A91" s="83">
        <v>46109</v>
      </c>
      <c r="B91" s="84" t="s">
        <v>14</v>
      </c>
      <c r="C91" s="84"/>
      <c r="D91" s="84" t="s">
        <v>18</v>
      </c>
      <c r="E91" s="84" t="s">
        <v>22</v>
      </c>
      <c r="F91" s="138"/>
      <c r="G91" s="138"/>
      <c r="H91" s="84"/>
      <c r="I91" s="84"/>
      <c r="J91" s="84"/>
      <c r="K91" s="101" t="s">
        <v>13</v>
      </c>
      <c r="M91" t="s">
        <v>19</v>
      </c>
    </row>
    <row r="92" spans="1:13">
      <c r="A92" s="83">
        <v>46110</v>
      </c>
      <c r="B92" s="84" t="s">
        <v>14</v>
      </c>
      <c r="C92" s="84"/>
      <c r="D92" s="84" t="s">
        <v>18</v>
      </c>
      <c r="E92" s="84" t="s">
        <v>22</v>
      </c>
      <c r="F92" s="84"/>
      <c r="G92" s="84"/>
      <c r="H92" s="84"/>
      <c r="I92" s="84"/>
      <c r="J92" s="84"/>
      <c r="K92" s="101" t="s">
        <v>13</v>
      </c>
      <c r="M92" t="s">
        <v>19</v>
      </c>
    </row>
    <row r="93" spans="1:13">
      <c r="A93" s="73">
        <v>46111</v>
      </c>
      <c r="B93" s="105" t="s">
        <v>17</v>
      </c>
      <c r="C93" s="76" t="s">
        <v>20</v>
      </c>
      <c r="D93" s="76" t="s">
        <v>13</v>
      </c>
      <c r="E93" s="76" t="s">
        <v>14</v>
      </c>
      <c r="F93" s="127" t="s">
        <v>17</v>
      </c>
      <c r="G93" s="127"/>
      <c r="H93" s="76"/>
      <c r="I93" s="76" t="s">
        <v>22</v>
      </c>
      <c r="J93" s="76"/>
      <c r="M93" t="s">
        <v>19</v>
      </c>
    </row>
    <row r="94" spans="1:13">
      <c r="A94" s="73">
        <v>46112</v>
      </c>
      <c r="B94" s="105" t="s">
        <v>17</v>
      </c>
      <c r="C94" s="76" t="s">
        <v>20</v>
      </c>
      <c r="D94" s="76" t="s">
        <v>13</v>
      </c>
      <c r="E94" s="76" t="s">
        <v>14</v>
      </c>
      <c r="F94" s="127" t="s">
        <v>17</v>
      </c>
      <c r="G94" s="127"/>
      <c r="H94" s="76"/>
      <c r="I94" s="76" t="s">
        <v>22</v>
      </c>
      <c r="J94" s="76"/>
      <c r="M94" t="s">
        <v>19</v>
      </c>
    </row>
    <row r="95" spans="1:13">
      <c r="A95" s="94" t="s">
        <v>40</v>
      </c>
      <c r="B95" s="94" t="s">
        <v>40</v>
      </c>
      <c r="C95" s="94" t="s">
        <v>40</v>
      </c>
      <c r="D95" s="94" t="s">
        <v>40</v>
      </c>
      <c r="E95" s="94" t="s">
        <v>40</v>
      </c>
      <c r="F95" s="131"/>
      <c r="G95" s="131"/>
      <c r="H95" s="94"/>
      <c r="I95" s="94"/>
      <c r="J95" s="94" t="s">
        <v>40</v>
      </c>
    </row>
    <row r="96" spans="1:13">
      <c r="A96" s="73">
        <v>46113</v>
      </c>
      <c r="B96" s="130" t="s">
        <v>17</v>
      </c>
      <c r="C96" s="73" t="s">
        <v>20</v>
      </c>
      <c r="D96" s="73" t="s">
        <v>13</v>
      </c>
      <c r="E96" s="76" t="s">
        <v>14</v>
      </c>
      <c r="F96" s="127" t="s">
        <v>17</v>
      </c>
      <c r="G96" s="127"/>
      <c r="H96" s="73"/>
      <c r="I96" s="100" t="s">
        <v>22</v>
      </c>
      <c r="J96" s="73"/>
      <c r="M96" t="s">
        <v>19</v>
      </c>
    </row>
    <row r="97" spans="1:13">
      <c r="A97" s="73">
        <v>46114</v>
      </c>
      <c r="B97" s="130" t="s">
        <v>17</v>
      </c>
      <c r="C97" s="73" t="s">
        <v>20</v>
      </c>
      <c r="D97" s="76" t="s">
        <v>13</v>
      </c>
      <c r="E97" s="76"/>
      <c r="F97" s="127" t="s">
        <v>17</v>
      </c>
      <c r="G97" s="127"/>
      <c r="H97" s="76"/>
      <c r="I97" s="100" t="s">
        <v>41</v>
      </c>
      <c r="J97" s="76"/>
      <c r="M97" t="s">
        <v>19</v>
      </c>
    </row>
    <row r="98" spans="1:13">
      <c r="A98" s="73">
        <v>46115</v>
      </c>
      <c r="B98" s="130" t="s">
        <v>17</v>
      </c>
      <c r="C98" s="73" t="s">
        <v>20</v>
      </c>
      <c r="D98" s="76" t="s">
        <v>13</v>
      </c>
      <c r="E98" s="76"/>
      <c r="F98" s="127" t="s">
        <v>17</v>
      </c>
      <c r="G98" s="127"/>
      <c r="H98" s="76"/>
      <c r="I98" s="100" t="s">
        <v>41</v>
      </c>
      <c r="J98" s="76" t="s">
        <v>18</v>
      </c>
      <c r="M98" t="s">
        <v>19</v>
      </c>
    </row>
    <row r="99" spans="1:13">
      <c r="A99" s="83">
        <v>46116</v>
      </c>
      <c r="B99" s="84" t="s">
        <v>19</v>
      </c>
      <c r="C99" s="84"/>
      <c r="D99" s="84" t="s">
        <v>13</v>
      </c>
      <c r="E99" s="84"/>
      <c r="F99" s="84"/>
      <c r="G99" s="84"/>
      <c r="H99" s="84"/>
      <c r="I99" s="84"/>
      <c r="J99" s="84" t="s">
        <v>18</v>
      </c>
    </row>
    <row r="100" spans="1:13">
      <c r="A100" s="83">
        <v>46117</v>
      </c>
      <c r="B100" s="84" t="s">
        <v>19</v>
      </c>
      <c r="C100" s="84"/>
      <c r="D100" s="84" t="s">
        <v>13</v>
      </c>
      <c r="E100" s="84"/>
      <c r="F100" s="84"/>
      <c r="G100" s="84"/>
      <c r="H100" s="84"/>
      <c r="I100" s="84"/>
      <c r="J100" s="84" t="s">
        <v>18</v>
      </c>
    </row>
    <row r="101" spans="1:13">
      <c r="A101" s="73">
        <v>46118</v>
      </c>
      <c r="B101" s="76" t="s">
        <v>19</v>
      </c>
      <c r="C101" s="76" t="s">
        <v>18</v>
      </c>
      <c r="D101" s="76" t="s">
        <v>17</v>
      </c>
      <c r="E101" s="76" t="s">
        <v>22</v>
      </c>
      <c r="F101" s="76"/>
      <c r="G101" s="76"/>
      <c r="H101" s="76"/>
      <c r="I101" s="76"/>
      <c r="J101" s="105"/>
    </row>
    <row r="102" spans="1:13">
      <c r="A102" s="73">
        <v>46119</v>
      </c>
      <c r="B102" s="76" t="s">
        <v>19</v>
      </c>
      <c r="C102" s="76" t="s">
        <v>18</v>
      </c>
      <c r="D102" s="76" t="s">
        <v>17</v>
      </c>
      <c r="E102" s="76" t="s">
        <v>22</v>
      </c>
      <c r="F102" s="76"/>
      <c r="G102" s="76"/>
      <c r="H102" s="76"/>
      <c r="I102" s="76"/>
      <c r="J102" s="76"/>
    </row>
    <row r="103" spans="1:13">
      <c r="A103" s="73">
        <v>46120</v>
      </c>
      <c r="B103" s="76" t="s">
        <v>19</v>
      </c>
      <c r="C103" s="76" t="s">
        <v>18</v>
      </c>
      <c r="D103" s="76" t="s">
        <v>17</v>
      </c>
      <c r="E103" s="76" t="s">
        <v>22</v>
      </c>
      <c r="F103" s="76"/>
      <c r="G103" s="76"/>
      <c r="H103" s="76"/>
      <c r="I103" s="76"/>
      <c r="J103" s="76"/>
    </row>
    <row r="104" spans="1:13">
      <c r="A104" s="73">
        <v>46121</v>
      </c>
      <c r="B104" s="76" t="s">
        <v>19</v>
      </c>
      <c r="C104" s="76" t="s">
        <v>18</v>
      </c>
      <c r="D104" s="76" t="s">
        <v>17</v>
      </c>
      <c r="E104" s="76" t="s">
        <v>14</v>
      </c>
      <c r="F104" s="76"/>
      <c r="G104" s="76"/>
      <c r="H104" s="76"/>
      <c r="I104" s="76" t="s">
        <v>22</v>
      </c>
      <c r="J104" s="76"/>
    </row>
    <row r="105" spans="1:13">
      <c r="A105" s="73">
        <v>46122</v>
      </c>
      <c r="B105" s="76" t="s">
        <v>19</v>
      </c>
      <c r="C105" s="76" t="s">
        <v>18</v>
      </c>
      <c r="D105" s="76" t="s">
        <v>17</v>
      </c>
      <c r="E105" s="76" t="s">
        <v>14</v>
      </c>
      <c r="F105" s="76"/>
      <c r="G105" s="76"/>
      <c r="H105" s="76"/>
      <c r="I105" s="76" t="s">
        <v>22</v>
      </c>
      <c r="J105" s="76"/>
    </row>
    <row r="106" spans="1:13">
      <c r="A106" s="83">
        <v>46123</v>
      </c>
      <c r="B106" s="84" t="s">
        <v>42</v>
      </c>
      <c r="C106" s="84"/>
      <c r="D106" s="84" t="s">
        <v>17</v>
      </c>
      <c r="E106" s="84" t="s">
        <v>14</v>
      </c>
      <c r="F106" s="84"/>
      <c r="G106" s="84"/>
      <c r="H106" s="84"/>
      <c r="I106" s="84"/>
      <c r="J106" s="84"/>
    </row>
    <row r="107" spans="1:13">
      <c r="A107" s="83">
        <v>46124</v>
      </c>
      <c r="B107" s="84" t="s">
        <v>42</v>
      </c>
      <c r="C107" s="84"/>
      <c r="D107" s="84" t="s">
        <v>17</v>
      </c>
      <c r="E107" s="84" t="s">
        <v>14</v>
      </c>
      <c r="F107" s="84"/>
      <c r="G107" s="84"/>
      <c r="H107" s="84"/>
      <c r="I107" s="84"/>
      <c r="J107" s="84"/>
    </row>
    <row r="108" spans="1:13">
      <c r="A108" s="73">
        <v>46125</v>
      </c>
      <c r="B108" s="76" t="s">
        <v>20</v>
      </c>
      <c r="C108" s="105" t="s">
        <v>13</v>
      </c>
      <c r="D108" s="76" t="s">
        <v>16</v>
      </c>
      <c r="E108" s="76"/>
      <c r="F108" s="127" t="s">
        <v>13</v>
      </c>
      <c r="G108" s="127"/>
      <c r="H108" s="76"/>
      <c r="I108" s="76" t="s">
        <v>14</v>
      </c>
      <c r="J108" s="76" t="s">
        <v>18</v>
      </c>
    </row>
    <row r="109" spans="1:13">
      <c r="A109" s="73">
        <v>46126</v>
      </c>
      <c r="B109" s="76" t="s">
        <v>20</v>
      </c>
      <c r="C109" s="105" t="s">
        <v>13</v>
      </c>
      <c r="D109" s="76" t="s">
        <v>16</v>
      </c>
      <c r="E109" s="76"/>
      <c r="F109" s="127" t="s">
        <v>13</v>
      </c>
      <c r="G109" s="127"/>
      <c r="H109" s="76"/>
      <c r="I109" s="76" t="s">
        <v>14</v>
      </c>
      <c r="J109" s="76" t="s">
        <v>18</v>
      </c>
    </row>
    <row r="110" spans="1:13">
      <c r="A110" s="73">
        <v>46127</v>
      </c>
      <c r="B110" s="76" t="s">
        <v>20</v>
      </c>
      <c r="C110" s="105" t="s">
        <v>13</v>
      </c>
      <c r="D110" s="76" t="s">
        <v>16</v>
      </c>
      <c r="E110" s="76"/>
      <c r="F110" s="127" t="s">
        <v>13</v>
      </c>
      <c r="G110" s="127"/>
      <c r="H110" s="76"/>
      <c r="I110" s="76" t="s">
        <v>14</v>
      </c>
      <c r="J110" s="76"/>
    </row>
    <row r="111" spans="1:13">
      <c r="A111" s="73">
        <v>46128</v>
      </c>
      <c r="B111" s="76" t="s">
        <v>20</v>
      </c>
      <c r="C111" s="105" t="s">
        <v>13</v>
      </c>
      <c r="D111" s="76" t="s">
        <v>16</v>
      </c>
      <c r="E111" s="76" t="s">
        <v>22</v>
      </c>
      <c r="F111" s="127" t="s">
        <v>13</v>
      </c>
      <c r="G111" s="127"/>
      <c r="H111" s="76"/>
      <c r="I111" s="76" t="s">
        <v>14</v>
      </c>
      <c r="J111" s="76"/>
    </row>
    <row r="112" spans="1:13">
      <c r="A112" s="73">
        <v>46129</v>
      </c>
      <c r="B112" s="76" t="s">
        <v>20</v>
      </c>
      <c r="C112" s="105" t="s">
        <v>13</v>
      </c>
      <c r="D112" s="76" t="s">
        <v>16</v>
      </c>
      <c r="E112" s="76" t="s">
        <v>22</v>
      </c>
      <c r="F112" s="127" t="s">
        <v>13</v>
      </c>
      <c r="G112" s="127"/>
      <c r="H112" s="76"/>
      <c r="I112" s="76" t="s">
        <v>14</v>
      </c>
      <c r="J112" s="76"/>
    </row>
    <row r="113" spans="1:14">
      <c r="A113" s="83">
        <v>46130</v>
      </c>
      <c r="B113" s="84" t="s">
        <v>19</v>
      </c>
      <c r="C113" s="84"/>
      <c r="D113" s="132" t="s">
        <v>18</v>
      </c>
      <c r="E113" s="84" t="s">
        <v>22</v>
      </c>
      <c r="F113" s="84"/>
      <c r="G113" s="84"/>
      <c r="H113" s="84"/>
      <c r="I113" s="84"/>
      <c r="J113" s="84"/>
    </row>
    <row r="114" spans="1:14">
      <c r="A114" s="83">
        <v>46131</v>
      </c>
      <c r="B114" s="84" t="s">
        <v>43</v>
      </c>
      <c r="C114" s="84"/>
      <c r="D114" s="132" t="s">
        <v>18</v>
      </c>
      <c r="E114" s="84" t="s">
        <v>22</v>
      </c>
      <c r="F114" s="84"/>
      <c r="G114" s="84"/>
      <c r="H114" s="84"/>
      <c r="I114" s="84"/>
      <c r="J114" s="84"/>
    </row>
    <row r="115" spans="1:14">
      <c r="A115" s="73">
        <v>46132</v>
      </c>
      <c r="B115" s="76" t="s">
        <v>26</v>
      </c>
      <c r="C115" s="76" t="s">
        <v>13</v>
      </c>
      <c r="D115" s="76" t="s">
        <v>18</v>
      </c>
      <c r="E115" s="76" t="s">
        <v>14</v>
      </c>
      <c r="F115" s="76" t="s">
        <v>20</v>
      </c>
      <c r="G115" s="76"/>
      <c r="H115" s="76"/>
      <c r="I115" s="76" t="s">
        <v>22</v>
      </c>
      <c r="J115" s="76"/>
    </row>
    <row r="116" spans="1:14">
      <c r="A116" s="73">
        <v>46133</v>
      </c>
      <c r="B116" s="76" t="s">
        <v>26</v>
      </c>
      <c r="C116" s="76" t="s">
        <v>13</v>
      </c>
      <c r="D116" s="76" t="s">
        <v>18</v>
      </c>
      <c r="E116" s="76" t="s">
        <v>14</v>
      </c>
      <c r="F116" s="76" t="s">
        <v>20</v>
      </c>
      <c r="G116" s="76"/>
      <c r="H116" s="76"/>
      <c r="I116" s="76" t="s">
        <v>22</v>
      </c>
      <c r="J116" s="76"/>
    </row>
    <row r="117" spans="1:14">
      <c r="A117" s="73">
        <v>46134</v>
      </c>
      <c r="B117" s="76" t="s">
        <v>26</v>
      </c>
      <c r="C117" s="76" t="s">
        <v>13</v>
      </c>
      <c r="D117" s="76" t="s">
        <v>18</v>
      </c>
      <c r="E117" s="76" t="s">
        <v>14</v>
      </c>
      <c r="F117" s="76" t="s">
        <v>20</v>
      </c>
      <c r="G117" s="76"/>
      <c r="H117" s="76"/>
      <c r="I117" s="76" t="s">
        <v>22</v>
      </c>
      <c r="J117" s="76"/>
    </row>
    <row r="118" spans="1:14">
      <c r="A118" s="73">
        <v>46135</v>
      </c>
      <c r="B118" s="76" t="s">
        <v>26</v>
      </c>
      <c r="C118" s="76" t="s">
        <v>13</v>
      </c>
      <c r="D118" s="76" t="s">
        <v>18</v>
      </c>
      <c r="E118" s="76"/>
      <c r="F118" s="76" t="s">
        <v>20</v>
      </c>
      <c r="G118" s="76"/>
      <c r="H118" s="76"/>
      <c r="I118" s="76" t="s">
        <v>41</v>
      </c>
      <c r="J118" s="76"/>
    </row>
    <row r="119" spans="1:14">
      <c r="A119" s="73">
        <v>46136</v>
      </c>
      <c r="B119" s="76" t="s">
        <v>26</v>
      </c>
      <c r="C119" s="76" t="s">
        <v>13</v>
      </c>
      <c r="D119" s="76" t="s">
        <v>18</v>
      </c>
      <c r="E119" s="76"/>
      <c r="F119" s="76" t="s">
        <v>20</v>
      </c>
      <c r="G119" s="76"/>
      <c r="H119" s="76"/>
      <c r="I119" s="76" t="s">
        <v>41</v>
      </c>
      <c r="J119" s="76"/>
    </row>
    <row r="120" spans="1:14">
      <c r="A120" s="83">
        <v>46137</v>
      </c>
      <c r="B120" s="84" t="s">
        <v>16</v>
      </c>
      <c r="C120" s="84"/>
      <c r="D120" s="132" t="s">
        <v>26</v>
      </c>
      <c r="E120" s="84"/>
      <c r="F120" s="84"/>
      <c r="G120" s="84"/>
      <c r="H120" s="128" t="s">
        <v>17</v>
      </c>
      <c r="I120" s="84"/>
      <c r="J120" s="84"/>
    </row>
    <row r="121" spans="1:14">
      <c r="A121" s="83">
        <v>46138</v>
      </c>
      <c r="B121" s="84" t="s">
        <v>16</v>
      </c>
      <c r="C121" s="84"/>
      <c r="D121" s="132" t="s">
        <v>26</v>
      </c>
      <c r="E121" s="84"/>
      <c r="F121" s="84"/>
      <c r="G121" s="84"/>
      <c r="H121" s="128" t="s">
        <v>17</v>
      </c>
      <c r="I121" s="84"/>
      <c r="J121" s="84"/>
    </row>
    <row r="122" spans="1:14">
      <c r="A122" s="73">
        <v>46139</v>
      </c>
      <c r="B122" s="76" t="s">
        <v>13</v>
      </c>
      <c r="C122" s="76" t="s">
        <v>26</v>
      </c>
      <c r="D122" s="76" t="s">
        <v>27</v>
      </c>
      <c r="E122" s="76" t="s">
        <v>22</v>
      </c>
      <c r="F122" s="76" t="s">
        <v>20</v>
      </c>
      <c r="G122" s="76"/>
      <c r="H122" s="76"/>
      <c r="I122" s="76"/>
      <c r="J122" s="76" t="s">
        <v>19</v>
      </c>
      <c r="N122" t="s">
        <v>44</v>
      </c>
    </row>
    <row r="123" spans="1:14">
      <c r="A123" s="73">
        <v>46140</v>
      </c>
      <c r="B123" s="76" t="s">
        <v>13</v>
      </c>
      <c r="C123" s="76" t="s">
        <v>26</v>
      </c>
      <c r="D123" s="76" t="s">
        <v>27</v>
      </c>
      <c r="E123" s="76" t="s">
        <v>22</v>
      </c>
      <c r="F123" s="76" t="s">
        <v>20</v>
      </c>
      <c r="G123" s="76"/>
      <c r="H123" s="76"/>
      <c r="I123" s="76"/>
      <c r="J123" s="76" t="s">
        <v>19</v>
      </c>
    </row>
    <row r="124" spans="1:14">
      <c r="A124" s="73">
        <v>46141</v>
      </c>
      <c r="B124" s="76" t="s">
        <v>13</v>
      </c>
      <c r="C124" s="76" t="s">
        <v>26</v>
      </c>
      <c r="D124" s="76" t="s">
        <v>27</v>
      </c>
      <c r="E124" s="76" t="s">
        <v>22</v>
      </c>
      <c r="F124" s="76" t="s">
        <v>20</v>
      </c>
      <c r="G124" s="76"/>
      <c r="H124" s="76"/>
      <c r="I124" s="76"/>
      <c r="J124" s="76" t="s">
        <v>19</v>
      </c>
    </row>
    <row r="125" spans="1:14">
      <c r="A125" s="73">
        <v>46142</v>
      </c>
      <c r="B125" s="76" t="s">
        <v>13</v>
      </c>
      <c r="C125" s="76" t="s">
        <v>26</v>
      </c>
      <c r="D125" s="76" t="s">
        <v>27</v>
      </c>
      <c r="E125" s="76" t="s">
        <v>14</v>
      </c>
      <c r="F125" s="76" t="s">
        <v>20</v>
      </c>
      <c r="G125" s="76"/>
      <c r="H125" s="76"/>
      <c r="I125" s="76" t="s">
        <v>22</v>
      </c>
      <c r="J125" s="76" t="s">
        <v>19</v>
      </c>
    </row>
    <row r="126" spans="1:14">
      <c r="A126" s="94" t="s">
        <v>45</v>
      </c>
      <c r="B126" s="94" t="s">
        <v>45</v>
      </c>
      <c r="C126" s="94" t="s">
        <v>45</v>
      </c>
      <c r="D126" s="94" t="s">
        <v>45</v>
      </c>
      <c r="E126" s="94" t="s">
        <v>45</v>
      </c>
      <c r="F126" s="94" t="s">
        <v>45</v>
      </c>
      <c r="G126" s="94"/>
      <c r="H126" s="94"/>
      <c r="I126" s="94"/>
      <c r="J126" s="94" t="s">
        <v>45</v>
      </c>
    </row>
    <row r="127" spans="1:14">
      <c r="A127" s="73">
        <v>46143</v>
      </c>
      <c r="B127" s="76" t="s">
        <v>13</v>
      </c>
      <c r="C127" s="76" t="s">
        <v>26</v>
      </c>
      <c r="D127" s="76" t="s">
        <v>27</v>
      </c>
      <c r="E127" s="76" t="s">
        <v>14</v>
      </c>
      <c r="F127" s="76" t="s">
        <v>20</v>
      </c>
      <c r="G127" s="76"/>
      <c r="H127" s="76"/>
      <c r="I127" s="76" t="s">
        <v>22</v>
      </c>
      <c r="J127" s="76" t="s">
        <v>19</v>
      </c>
      <c r="M127" s="81"/>
    </row>
    <row r="128" spans="1:14">
      <c r="A128" s="83">
        <v>46144</v>
      </c>
      <c r="B128" s="137" t="s">
        <v>13</v>
      </c>
      <c r="C128" s="84"/>
      <c r="D128" s="140" t="s">
        <v>27</v>
      </c>
      <c r="E128" s="84" t="s">
        <v>14</v>
      </c>
      <c r="F128" s="84"/>
      <c r="G128" s="84"/>
      <c r="H128" s="128" t="s">
        <v>20</v>
      </c>
      <c r="I128" s="84"/>
      <c r="J128" s="84" t="s">
        <v>19</v>
      </c>
    </row>
    <row r="129" spans="1:16">
      <c r="A129" s="83">
        <v>46145</v>
      </c>
      <c r="B129" s="139" t="s">
        <v>13</v>
      </c>
      <c r="C129" s="83"/>
      <c r="D129" s="132" t="s">
        <v>27</v>
      </c>
      <c r="E129" s="84" t="s">
        <v>14</v>
      </c>
      <c r="F129" s="83"/>
      <c r="G129" s="83"/>
      <c r="H129" s="129" t="s">
        <v>20</v>
      </c>
      <c r="I129" s="83"/>
      <c r="J129" s="95" t="s">
        <v>19</v>
      </c>
      <c r="K129" t="s">
        <v>18</v>
      </c>
    </row>
    <row r="130" spans="1:16">
      <c r="A130" s="73">
        <v>46146</v>
      </c>
      <c r="B130" s="76" t="s">
        <v>22</v>
      </c>
      <c r="C130" s="76" t="s">
        <v>17</v>
      </c>
      <c r="D130" s="139" t="s">
        <v>18</v>
      </c>
      <c r="E130" s="76"/>
      <c r="F130" s="103"/>
      <c r="G130" s="103"/>
      <c r="H130" s="103"/>
      <c r="I130" s="103" t="s">
        <v>14</v>
      </c>
      <c r="J130" s="76" t="s">
        <v>19</v>
      </c>
      <c r="K130" t="s">
        <v>18</v>
      </c>
    </row>
    <row r="131" spans="1:16">
      <c r="A131" s="73">
        <v>46147</v>
      </c>
      <c r="B131" s="76" t="s">
        <v>22</v>
      </c>
      <c r="C131" s="76" t="s">
        <v>17</v>
      </c>
      <c r="D131" s="139" t="s">
        <v>18</v>
      </c>
      <c r="E131" s="76"/>
      <c r="F131" s="103"/>
      <c r="G131" s="103"/>
      <c r="H131" s="103"/>
      <c r="I131" s="103" t="s">
        <v>14</v>
      </c>
      <c r="J131" s="76" t="s">
        <v>19</v>
      </c>
      <c r="K131" t="s">
        <v>18</v>
      </c>
    </row>
    <row r="132" spans="1:16">
      <c r="A132" s="73">
        <v>46148</v>
      </c>
      <c r="B132" s="76" t="s">
        <v>22</v>
      </c>
      <c r="C132" s="76" t="s">
        <v>17</v>
      </c>
      <c r="D132" s="139" t="s">
        <v>18</v>
      </c>
      <c r="E132" s="76"/>
      <c r="F132" s="103"/>
      <c r="G132" s="103"/>
      <c r="H132" s="103"/>
      <c r="I132" s="103" t="s">
        <v>14</v>
      </c>
      <c r="J132" s="76" t="s">
        <v>46</v>
      </c>
      <c r="K132" t="s">
        <v>18</v>
      </c>
    </row>
    <row r="133" spans="1:16">
      <c r="A133" s="73">
        <v>46149</v>
      </c>
      <c r="B133" s="76" t="s">
        <v>22</v>
      </c>
      <c r="C133" s="76" t="s">
        <v>17</v>
      </c>
      <c r="D133" s="139" t="s">
        <v>18</v>
      </c>
      <c r="E133" s="76" t="s">
        <v>26</v>
      </c>
      <c r="F133" s="103"/>
      <c r="G133" s="103"/>
      <c r="H133" s="103"/>
      <c r="I133" s="103" t="s">
        <v>14</v>
      </c>
      <c r="J133" s="76" t="s">
        <v>19</v>
      </c>
      <c r="K133" t="s">
        <v>18</v>
      </c>
      <c r="M133" s="81"/>
    </row>
    <row r="134" spans="1:16">
      <c r="A134" s="73">
        <v>46150</v>
      </c>
      <c r="B134" s="76" t="s">
        <v>22</v>
      </c>
      <c r="C134" s="76" t="s">
        <v>17</v>
      </c>
      <c r="D134" s="139" t="s">
        <v>18</v>
      </c>
      <c r="E134" s="76" t="s">
        <v>26</v>
      </c>
      <c r="F134" s="103"/>
      <c r="G134" s="103"/>
      <c r="H134" s="103"/>
      <c r="I134" s="103" t="s">
        <v>14</v>
      </c>
      <c r="J134" s="76" t="s">
        <v>46</v>
      </c>
      <c r="K134" t="s">
        <v>18</v>
      </c>
      <c r="M134" s="81"/>
    </row>
    <row r="135" spans="1:16">
      <c r="A135" s="83">
        <v>46151</v>
      </c>
      <c r="B135" s="84" t="s">
        <v>22</v>
      </c>
      <c r="C135" s="84"/>
      <c r="D135" s="137" t="s">
        <v>14</v>
      </c>
      <c r="E135" s="84" t="s">
        <v>26</v>
      </c>
      <c r="F135" s="84"/>
      <c r="G135" s="84"/>
      <c r="H135" s="84"/>
      <c r="I135" s="84"/>
      <c r="J135" s="84"/>
      <c r="K135" t="s">
        <v>18</v>
      </c>
      <c r="M135" s="81"/>
    </row>
    <row r="136" spans="1:16">
      <c r="A136" s="83">
        <v>46152</v>
      </c>
      <c r="B136" s="84" t="s">
        <v>22</v>
      </c>
      <c r="C136" s="84"/>
      <c r="D136" s="137" t="s">
        <v>14</v>
      </c>
      <c r="E136" s="84" t="s">
        <v>26</v>
      </c>
      <c r="F136" s="84"/>
      <c r="G136" s="84"/>
      <c r="H136" s="84"/>
      <c r="I136" s="84"/>
      <c r="J136" s="84"/>
      <c r="M136" s="81"/>
    </row>
    <row r="137" spans="1:16">
      <c r="A137" s="73">
        <v>46153</v>
      </c>
      <c r="B137" s="76" t="s">
        <v>27</v>
      </c>
      <c r="C137" s="76" t="s">
        <v>17</v>
      </c>
      <c r="D137" s="76" t="s">
        <v>47</v>
      </c>
      <c r="E137" s="76" t="s">
        <v>16</v>
      </c>
      <c r="F137" s="76" t="s">
        <v>14</v>
      </c>
      <c r="G137" s="76"/>
      <c r="H137" s="76"/>
      <c r="I137" s="76" t="s">
        <v>26</v>
      </c>
      <c r="J137" s="76" t="s">
        <v>20</v>
      </c>
      <c r="M137" s="81"/>
      <c r="P137" s="81"/>
    </row>
    <row r="138" spans="1:16">
      <c r="A138" s="73">
        <v>46154</v>
      </c>
      <c r="B138" s="76" t="s">
        <v>27</v>
      </c>
      <c r="C138" s="76" t="s">
        <v>17</v>
      </c>
      <c r="D138" s="76" t="s">
        <v>47</v>
      </c>
      <c r="E138" s="76" t="s">
        <v>16</v>
      </c>
      <c r="F138" s="76" t="s">
        <v>14</v>
      </c>
      <c r="G138" s="76"/>
      <c r="H138" s="76"/>
      <c r="I138" s="76" t="s">
        <v>26</v>
      </c>
      <c r="J138" s="76" t="s">
        <v>20</v>
      </c>
    </row>
    <row r="139" spans="1:16">
      <c r="A139" s="73">
        <v>46155</v>
      </c>
      <c r="B139" s="76" t="s">
        <v>27</v>
      </c>
      <c r="C139" s="76" t="s">
        <v>17</v>
      </c>
      <c r="D139" s="76" t="s">
        <v>47</v>
      </c>
      <c r="E139" s="76" t="s">
        <v>16</v>
      </c>
      <c r="F139" s="76" t="s">
        <v>14</v>
      </c>
      <c r="G139" s="76"/>
      <c r="H139" s="76"/>
      <c r="I139" s="76" t="s">
        <v>26</v>
      </c>
      <c r="J139" s="76" t="s">
        <v>20</v>
      </c>
    </row>
    <row r="140" spans="1:16">
      <c r="A140" s="73">
        <v>46156</v>
      </c>
      <c r="B140" s="76" t="s">
        <v>27</v>
      </c>
      <c r="C140" s="76" t="s">
        <v>17</v>
      </c>
      <c r="D140" s="76" t="s">
        <v>47</v>
      </c>
      <c r="E140" s="76" t="s">
        <v>18</v>
      </c>
      <c r="F140" s="76" t="s">
        <v>14</v>
      </c>
      <c r="G140" s="76"/>
      <c r="H140" s="76"/>
      <c r="I140" s="76" t="s">
        <v>48</v>
      </c>
      <c r="J140" s="76" t="s">
        <v>20</v>
      </c>
    </row>
    <row r="141" spans="1:16">
      <c r="A141" s="73">
        <v>46157</v>
      </c>
      <c r="B141" s="76" t="s">
        <v>27</v>
      </c>
      <c r="C141" s="76" t="s">
        <v>17</v>
      </c>
      <c r="D141" s="76" t="s">
        <v>47</v>
      </c>
      <c r="E141" s="76" t="s">
        <v>18</v>
      </c>
      <c r="F141" s="76" t="s">
        <v>14</v>
      </c>
      <c r="G141" s="76"/>
      <c r="H141" s="76"/>
      <c r="I141" s="76" t="s">
        <v>48</v>
      </c>
      <c r="J141" s="76" t="s">
        <v>20</v>
      </c>
    </row>
    <row r="142" spans="1:16">
      <c r="A142" s="83">
        <v>46158</v>
      </c>
      <c r="B142" s="84" t="s">
        <v>27</v>
      </c>
      <c r="C142" s="84"/>
      <c r="D142" s="84" t="s">
        <v>13</v>
      </c>
      <c r="E142" s="84" t="s">
        <v>18</v>
      </c>
      <c r="F142" s="84"/>
      <c r="G142" s="84"/>
      <c r="H142" s="84"/>
      <c r="I142" s="84"/>
      <c r="J142" s="84"/>
    </row>
    <row r="143" spans="1:16">
      <c r="A143" s="83">
        <v>46159</v>
      </c>
      <c r="B143" s="84" t="s">
        <v>27</v>
      </c>
      <c r="C143" s="84"/>
      <c r="D143" s="84" t="s">
        <v>13</v>
      </c>
      <c r="E143" s="84" t="s">
        <v>18</v>
      </c>
      <c r="F143" s="84"/>
      <c r="G143" s="84"/>
      <c r="H143" s="84"/>
      <c r="I143" s="84"/>
      <c r="J143" s="84"/>
    </row>
    <row r="144" spans="1:16">
      <c r="A144" s="73">
        <v>46160</v>
      </c>
      <c r="B144" s="76" t="s">
        <v>20</v>
      </c>
      <c r="C144" s="76" t="s">
        <v>14</v>
      </c>
      <c r="D144" s="103" t="s">
        <v>19</v>
      </c>
      <c r="E144" s="76" t="s">
        <v>26</v>
      </c>
      <c r="F144" s="105"/>
      <c r="G144" s="105"/>
      <c r="H144" s="76"/>
      <c r="I144" s="76" t="s">
        <v>18</v>
      </c>
      <c r="J144" s="76"/>
      <c r="M144" t="s">
        <v>49</v>
      </c>
    </row>
    <row r="145" spans="1:13">
      <c r="A145" s="73">
        <v>46161</v>
      </c>
      <c r="B145" s="76" t="s">
        <v>20</v>
      </c>
      <c r="C145" s="76" t="s">
        <v>14</v>
      </c>
      <c r="D145" s="103" t="s">
        <v>19</v>
      </c>
      <c r="E145" s="76" t="s">
        <v>26</v>
      </c>
      <c r="F145" s="105"/>
      <c r="G145" s="105"/>
      <c r="H145" s="76"/>
      <c r="I145" s="76" t="s">
        <v>18</v>
      </c>
      <c r="J145" s="76"/>
      <c r="M145" t="s">
        <v>49</v>
      </c>
    </row>
    <row r="146" spans="1:13">
      <c r="A146" s="73">
        <v>46162</v>
      </c>
      <c r="B146" s="76" t="s">
        <v>20</v>
      </c>
      <c r="C146" s="76" t="s">
        <v>14</v>
      </c>
      <c r="D146" s="103" t="s">
        <v>19</v>
      </c>
      <c r="E146" s="76" t="s">
        <v>26</v>
      </c>
      <c r="F146" s="105"/>
      <c r="G146" s="105"/>
      <c r="H146" s="76"/>
      <c r="I146" s="76" t="s">
        <v>18</v>
      </c>
      <c r="J146" s="76"/>
      <c r="M146" t="s">
        <v>49</v>
      </c>
    </row>
    <row r="147" spans="1:13">
      <c r="A147" s="73">
        <v>46163</v>
      </c>
      <c r="B147" s="76" t="s">
        <v>20</v>
      </c>
      <c r="C147" s="76" t="s">
        <v>14</v>
      </c>
      <c r="D147" s="103" t="s">
        <v>19</v>
      </c>
      <c r="E147" s="127" t="s">
        <v>16</v>
      </c>
      <c r="F147" s="105"/>
      <c r="G147" s="105"/>
      <c r="H147" s="76"/>
      <c r="I147" s="76" t="s">
        <v>50</v>
      </c>
      <c r="J147" s="76"/>
      <c r="M147" t="s">
        <v>49</v>
      </c>
    </row>
    <row r="148" spans="1:13">
      <c r="A148" s="73">
        <v>46164</v>
      </c>
      <c r="B148" s="76" t="s">
        <v>20</v>
      </c>
      <c r="C148" s="76" t="s">
        <v>14</v>
      </c>
      <c r="D148" s="103" t="s">
        <v>19</v>
      </c>
      <c r="E148" s="127" t="s">
        <v>16</v>
      </c>
      <c r="F148" s="105"/>
      <c r="G148" s="105"/>
      <c r="H148" s="76"/>
      <c r="I148" s="76" t="s">
        <v>50</v>
      </c>
      <c r="J148" s="76" t="s">
        <v>22</v>
      </c>
      <c r="M148" t="s">
        <v>49</v>
      </c>
    </row>
    <row r="149" spans="1:13">
      <c r="A149" s="83">
        <v>46165</v>
      </c>
      <c r="B149" s="84" t="s">
        <v>17</v>
      </c>
      <c r="C149" s="84"/>
      <c r="D149" s="132" t="s">
        <v>16</v>
      </c>
      <c r="E149" s="128" t="s">
        <v>16</v>
      </c>
      <c r="F149" s="84"/>
      <c r="G149" s="84"/>
      <c r="H149" s="84"/>
      <c r="I149" s="84"/>
      <c r="J149" s="84"/>
      <c r="M149" t="s">
        <v>49</v>
      </c>
    </row>
    <row r="150" spans="1:13">
      <c r="A150" s="83">
        <v>46166</v>
      </c>
      <c r="B150" s="84" t="s">
        <v>17</v>
      </c>
      <c r="C150" s="84"/>
      <c r="D150" s="132" t="s">
        <v>16</v>
      </c>
      <c r="E150" s="128" t="s">
        <v>16</v>
      </c>
      <c r="F150" s="84"/>
      <c r="G150" s="84"/>
      <c r="H150" s="84"/>
      <c r="I150" s="84"/>
      <c r="J150" s="84"/>
      <c r="M150" t="s">
        <v>49</v>
      </c>
    </row>
    <row r="151" spans="1:13">
      <c r="A151" s="77">
        <v>46167</v>
      </c>
      <c r="B151" s="78" t="s">
        <v>17</v>
      </c>
      <c r="C151" s="78"/>
      <c r="D151" s="134" t="s">
        <v>18</v>
      </c>
      <c r="E151" s="133" t="s">
        <v>18</v>
      </c>
      <c r="F151" s="78"/>
      <c r="G151" s="78"/>
      <c r="H151" s="78"/>
      <c r="I151" s="78" t="s">
        <v>16</v>
      </c>
      <c r="J151" s="78"/>
      <c r="M151" t="s">
        <v>49</v>
      </c>
    </row>
    <row r="152" spans="1:13">
      <c r="A152" s="73">
        <v>46168</v>
      </c>
      <c r="B152" s="76" t="s">
        <v>17</v>
      </c>
      <c r="C152" s="76" t="s">
        <v>20</v>
      </c>
      <c r="D152" s="135" t="s">
        <v>18</v>
      </c>
      <c r="E152" s="127" t="s">
        <v>18</v>
      </c>
      <c r="F152" s="76" t="s">
        <v>27</v>
      </c>
      <c r="G152" s="76"/>
      <c r="H152" s="76"/>
      <c r="I152" s="76" t="s">
        <v>16</v>
      </c>
      <c r="J152" s="76" t="s">
        <v>22</v>
      </c>
      <c r="M152" t="s">
        <v>49</v>
      </c>
    </row>
    <row r="153" spans="1:13">
      <c r="A153" s="73">
        <v>46169</v>
      </c>
      <c r="B153" s="76" t="s">
        <v>17</v>
      </c>
      <c r="C153" s="76" t="s">
        <v>20</v>
      </c>
      <c r="D153" s="135" t="s">
        <v>18</v>
      </c>
      <c r="E153" s="127" t="s">
        <v>18</v>
      </c>
      <c r="F153" s="76" t="s">
        <v>27</v>
      </c>
      <c r="G153" s="76"/>
      <c r="H153" s="76"/>
      <c r="I153" s="76" t="s">
        <v>16</v>
      </c>
      <c r="J153" s="76" t="s">
        <v>51</v>
      </c>
      <c r="M153" t="s">
        <v>49</v>
      </c>
    </row>
    <row r="154" spans="1:13">
      <c r="A154" s="73">
        <v>46170</v>
      </c>
      <c r="B154" s="76" t="s">
        <v>17</v>
      </c>
      <c r="C154" s="76" t="s">
        <v>20</v>
      </c>
      <c r="D154" s="105" t="s">
        <v>27</v>
      </c>
      <c r="E154" s="76" t="s">
        <v>26</v>
      </c>
      <c r="F154" s="127" t="s">
        <v>27</v>
      </c>
      <c r="G154" s="127"/>
      <c r="H154" s="76"/>
      <c r="I154" s="76" t="s">
        <v>28</v>
      </c>
      <c r="J154" s="76" t="s">
        <v>51</v>
      </c>
      <c r="M154" t="s">
        <v>49</v>
      </c>
    </row>
    <row r="155" spans="1:13">
      <c r="A155" s="73">
        <v>46171</v>
      </c>
      <c r="B155" s="76" t="s">
        <v>17</v>
      </c>
      <c r="C155" s="76" t="s">
        <v>20</v>
      </c>
      <c r="D155" s="105" t="s">
        <v>27</v>
      </c>
      <c r="E155" s="76" t="s">
        <v>26</v>
      </c>
      <c r="F155" s="127" t="s">
        <v>27</v>
      </c>
      <c r="G155" s="127"/>
      <c r="H155" s="76"/>
      <c r="I155" s="76" t="s">
        <v>28</v>
      </c>
      <c r="J155" s="76" t="s">
        <v>51</v>
      </c>
      <c r="M155" t="s">
        <v>49</v>
      </c>
    </row>
    <row r="156" spans="1:13">
      <c r="A156" s="83">
        <v>46172</v>
      </c>
      <c r="B156" s="84" t="s">
        <v>20</v>
      </c>
      <c r="C156" s="84"/>
      <c r="D156" s="84" t="s">
        <v>13</v>
      </c>
      <c r="E156" s="84" t="s">
        <v>26</v>
      </c>
      <c r="F156" s="84"/>
      <c r="G156" s="84"/>
      <c r="H156" s="84"/>
      <c r="I156" s="84"/>
      <c r="J156" s="84"/>
      <c r="M156" t="s">
        <v>49</v>
      </c>
    </row>
    <row r="157" spans="1:13">
      <c r="A157" s="83">
        <v>46173</v>
      </c>
      <c r="B157" s="84" t="s">
        <v>20</v>
      </c>
      <c r="C157" s="84"/>
      <c r="D157" s="84" t="s">
        <v>13</v>
      </c>
      <c r="E157" s="84" t="s">
        <v>26</v>
      </c>
      <c r="F157" s="84"/>
      <c r="G157" s="84"/>
      <c r="H157" s="84"/>
      <c r="I157" s="84"/>
      <c r="J157" s="84"/>
      <c r="M157" t="s">
        <v>49</v>
      </c>
    </row>
    <row r="158" spans="1:13">
      <c r="A158" s="98" t="s">
        <v>52</v>
      </c>
      <c r="B158" s="98" t="s">
        <v>52</v>
      </c>
      <c r="C158" s="98" t="s">
        <v>52</v>
      </c>
      <c r="D158" s="98" t="s">
        <v>52</v>
      </c>
      <c r="E158" s="98" t="s">
        <v>52</v>
      </c>
      <c r="F158" s="98" t="s">
        <v>52</v>
      </c>
      <c r="G158" s="98"/>
      <c r="H158" s="98"/>
      <c r="I158" s="98"/>
      <c r="J158" s="98" t="s">
        <v>52</v>
      </c>
    </row>
    <row r="159" spans="1:13">
      <c r="A159" s="73">
        <v>46174</v>
      </c>
      <c r="B159" s="76" t="s">
        <v>13</v>
      </c>
      <c r="C159" s="76" t="s">
        <v>27</v>
      </c>
      <c r="D159" s="76" t="s">
        <v>19</v>
      </c>
      <c r="E159" s="76" t="s">
        <v>16</v>
      </c>
      <c r="F159" s="76"/>
      <c r="G159" s="76"/>
      <c r="H159" s="76"/>
      <c r="I159" s="76" t="s">
        <v>26</v>
      </c>
      <c r="J159" s="76"/>
      <c r="K159" t="s">
        <v>20</v>
      </c>
      <c r="L159" t="s">
        <v>17</v>
      </c>
    </row>
    <row r="160" spans="1:13">
      <c r="A160" s="73">
        <v>46175</v>
      </c>
      <c r="B160" s="76" t="s">
        <v>13</v>
      </c>
      <c r="C160" s="76" t="s">
        <v>27</v>
      </c>
      <c r="D160" s="76" t="s">
        <v>19</v>
      </c>
      <c r="E160" s="76" t="s">
        <v>16</v>
      </c>
      <c r="F160" s="76"/>
      <c r="G160" s="76"/>
      <c r="H160" s="76"/>
      <c r="I160" s="76" t="s">
        <v>26</v>
      </c>
      <c r="J160" s="76"/>
      <c r="K160" t="s">
        <v>20</v>
      </c>
      <c r="L160" t="s">
        <v>17</v>
      </c>
    </row>
    <row r="161" spans="1:17">
      <c r="A161" s="73">
        <v>46176</v>
      </c>
      <c r="B161" s="76" t="s">
        <v>13</v>
      </c>
      <c r="C161" s="76" t="s">
        <v>27</v>
      </c>
      <c r="D161" s="76" t="s">
        <v>19</v>
      </c>
      <c r="E161" s="76" t="s">
        <v>16</v>
      </c>
      <c r="F161" s="76"/>
      <c r="G161" s="76"/>
      <c r="H161" s="76"/>
      <c r="I161" s="76" t="s">
        <v>26</v>
      </c>
      <c r="J161" s="73"/>
      <c r="K161" t="s">
        <v>20</v>
      </c>
      <c r="L161" t="s">
        <v>17</v>
      </c>
    </row>
    <row r="162" spans="1:17">
      <c r="A162" s="73">
        <v>46177</v>
      </c>
      <c r="B162" s="76" t="s">
        <v>13</v>
      </c>
      <c r="C162" s="76" t="s">
        <v>27</v>
      </c>
      <c r="D162" s="76" t="s">
        <v>19</v>
      </c>
      <c r="E162" s="76" t="s">
        <v>18</v>
      </c>
      <c r="F162" s="76"/>
      <c r="G162" s="76"/>
      <c r="H162" s="76"/>
      <c r="I162" s="76" t="s">
        <v>48</v>
      </c>
      <c r="J162" s="76"/>
      <c r="K162" t="s">
        <v>20</v>
      </c>
      <c r="L162" t="s">
        <v>17</v>
      </c>
    </row>
    <row r="163" spans="1:17">
      <c r="A163" s="73">
        <v>46178</v>
      </c>
      <c r="B163" s="76" t="s">
        <v>13</v>
      </c>
      <c r="C163" s="76" t="s">
        <v>27</v>
      </c>
      <c r="D163" s="76" t="s">
        <v>19</v>
      </c>
      <c r="E163" s="76" t="s">
        <v>20</v>
      </c>
      <c r="F163" s="76"/>
      <c r="G163" s="76"/>
      <c r="H163" s="76"/>
      <c r="I163" s="76" t="s">
        <v>48</v>
      </c>
      <c r="J163" s="76"/>
      <c r="K163" t="s">
        <v>20</v>
      </c>
      <c r="L163" t="s">
        <v>17</v>
      </c>
    </row>
    <row r="164" spans="1:17">
      <c r="A164" s="83">
        <v>46179</v>
      </c>
      <c r="B164" s="84" t="s">
        <v>14</v>
      </c>
      <c r="C164" s="84"/>
      <c r="D164" s="84" t="s">
        <v>19</v>
      </c>
      <c r="E164" s="84" t="s">
        <v>20</v>
      </c>
      <c r="F164" s="84"/>
      <c r="G164" s="84"/>
      <c r="H164" s="128" t="s">
        <v>27</v>
      </c>
      <c r="I164" s="84"/>
      <c r="J164" s="84"/>
      <c r="K164" t="s">
        <v>20</v>
      </c>
      <c r="L164" t="s">
        <v>17</v>
      </c>
    </row>
    <row r="165" spans="1:17">
      <c r="A165" s="83">
        <v>46180</v>
      </c>
      <c r="B165" s="84" t="s">
        <v>14</v>
      </c>
      <c r="C165" s="84"/>
      <c r="D165" s="84" t="s">
        <v>19</v>
      </c>
      <c r="E165" s="84" t="s">
        <v>20</v>
      </c>
      <c r="F165" s="84"/>
      <c r="G165" s="84"/>
      <c r="H165" s="128" t="s">
        <v>27</v>
      </c>
      <c r="I165" s="84"/>
      <c r="J165" s="84"/>
      <c r="K165" t="s">
        <v>20</v>
      </c>
      <c r="L165" t="s">
        <v>17</v>
      </c>
    </row>
    <row r="166" spans="1:17">
      <c r="A166" s="73">
        <v>46181</v>
      </c>
      <c r="B166" s="136" t="s">
        <v>26</v>
      </c>
      <c r="C166" s="76" t="s">
        <v>14</v>
      </c>
      <c r="D166" s="76" t="s">
        <v>18</v>
      </c>
      <c r="E166" s="127" t="s">
        <v>26</v>
      </c>
      <c r="F166" s="76"/>
      <c r="G166" s="76"/>
      <c r="H166" s="76"/>
      <c r="I166" s="76"/>
      <c r="J166" s="76"/>
      <c r="L166" t="s">
        <v>17</v>
      </c>
      <c r="M166" t="s">
        <v>13</v>
      </c>
      <c r="Q166" t="s">
        <v>53</v>
      </c>
    </row>
    <row r="167" spans="1:17">
      <c r="A167" s="73">
        <v>46182</v>
      </c>
      <c r="B167" s="136" t="s">
        <v>26</v>
      </c>
      <c r="C167" s="76" t="s">
        <v>14</v>
      </c>
      <c r="D167" s="76" t="s">
        <v>18</v>
      </c>
      <c r="E167" s="127" t="s">
        <v>26</v>
      </c>
      <c r="F167" s="76"/>
      <c r="G167" s="76"/>
      <c r="H167" s="76"/>
      <c r="I167" s="76"/>
      <c r="J167" s="76"/>
      <c r="L167" t="s">
        <v>17</v>
      </c>
      <c r="M167" t="s">
        <v>13</v>
      </c>
    </row>
    <row r="168" spans="1:17">
      <c r="A168" s="73">
        <v>46183</v>
      </c>
      <c r="B168" s="136" t="s">
        <v>26</v>
      </c>
      <c r="C168" s="76" t="s">
        <v>14</v>
      </c>
      <c r="D168" s="76" t="s">
        <v>20</v>
      </c>
      <c r="E168" s="127" t="s">
        <v>26</v>
      </c>
      <c r="F168" s="127"/>
      <c r="G168" s="127"/>
      <c r="H168" s="76"/>
      <c r="I168" s="76"/>
      <c r="J168" s="76"/>
      <c r="L168" t="s">
        <v>17</v>
      </c>
      <c r="M168" t="s">
        <v>13</v>
      </c>
    </row>
    <row r="169" spans="1:17">
      <c r="A169" s="73">
        <v>46184</v>
      </c>
      <c r="B169" s="137" t="s">
        <v>22</v>
      </c>
      <c r="C169" s="76" t="s">
        <v>14</v>
      </c>
      <c r="D169" s="76" t="s">
        <v>20</v>
      </c>
      <c r="E169" s="76" t="s">
        <v>16</v>
      </c>
      <c r="F169" s="76"/>
      <c r="G169" s="76"/>
      <c r="H169" s="76"/>
      <c r="I169" s="76" t="s">
        <v>26</v>
      </c>
      <c r="J169" s="76"/>
      <c r="L169" t="s">
        <v>17</v>
      </c>
      <c r="M169" t="s">
        <v>13</v>
      </c>
      <c r="O169" s="81"/>
    </row>
    <row r="170" spans="1:17">
      <c r="A170" s="73">
        <v>46185</v>
      </c>
      <c r="B170" s="137" t="s">
        <v>22</v>
      </c>
      <c r="C170" s="76" t="s">
        <v>14</v>
      </c>
      <c r="D170" s="76" t="s">
        <v>18</v>
      </c>
      <c r="E170" s="76" t="s">
        <v>16</v>
      </c>
      <c r="F170" s="76"/>
      <c r="G170" s="76"/>
      <c r="H170" s="76"/>
      <c r="I170" s="76" t="s">
        <v>26</v>
      </c>
      <c r="J170" s="76"/>
      <c r="L170" t="s">
        <v>17</v>
      </c>
      <c r="M170" t="s">
        <v>13</v>
      </c>
    </row>
    <row r="171" spans="1:17">
      <c r="A171" s="83">
        <v>46186</v>
      </c>
      <c r="B171" s="84" t="s">
        <v>26</v>
      </c>
      <c r="C171" s="84"/>
      <c r="D171" s="84" t="s">
        <v>42</v>
      </c>
      <c r="E171" s="84" t="s">
        <v>16</v>
      </c>
      <c r="F171" s="84"/>
      <c r="G171" s="84"/>
      <c r="H171" s="84"/>
      <c r="I171" s="84"/>
      <c r="J171" s="84"/>
      <c r="L171" t="s">
        <v>17</v>
      </c>
      <c r="M171" t="s">
        <v>13</v>
      </c>
    </row>
    <row r="172" spans="1:17">
      <c r="A172" s="83">
        <v>46187</v>
      </c>
      <c r="B172" s="84" t="s">
        <v>26</v>
      </c>
      <c r="C172" s="84"/>
      <c r="D172" s="84" t="s">
        <v>42</v>
      </c>
      <c r="E172" s="84" t="s">
        <v>16</v>
      </c>
      <c r="F172" s="84"/>
      <c r="G172" s="84"/>
      <c r="H172" s="84"/>
      <c r="I172" s="84"/>
      <c r="J172" s="84"/>
      <c r="L172" t="s">
        <v>17</v>
      </c>
      <c r="M172" t="s">
        <v>13</v>
      </c>
    </row>
    <row r="173" spans="1:17">
      <c r="A173" s="73">
        <v>46188</v>
      </c>
      <c r="B173" s="76" t="s">
        <v>19</v>
      </c>
      <c r="C173" s="76" t="s">
        <v>17</v>
      </c>
      <c r="D173" s="76" t="s">
        <v>26</v>
      </c>
      <c r="E173" s="76" t="s">
        <v>18</v>
      </c>
      <c r="F173" s="76"/>
      <c r="G173" s="76"/>
      <c r="H173" s="76"/>
      <c r="I173" s="76" t="s">
        <v>16</v>
      </c>
      <c r="J173" s="76"/>
    </row>
    <row r="174" spans="1:17">
      <c r="A174" s="73">
        <v>46189</v>
      </c>
      <c r="B174" s="76" t="s">
        <v>19</v>
      </c>
      <c r="C174" s="76" t="s">
        <v>17</v>
      </c>
      <c r="D174" s="76" t="s">
        <v>26</v>
      </c>
      <c r="E174" s="76" t="s">
        <v>18</v>
      </c>
      <c r="F174" s="76"/>
      <c r="G174" s="76"/>
      <c r="H174" s="76"/>
      <c r="I174" s="76" t="s">
        <v>16</v>
      </c>
      <c r="J174" s="76"/>
    </row>
    <row r="175" spans="1:17">
      <c r="A175" s="73">
        <v>46190</v>
      </c>
      <c r="B175" s="76" t="s">
        <v>19</v>
      </c>
      <c r="C175" s="76" t="s">
        <v>17</v>
      </c>
      <c r="D175" s="76" t="s">
        <v>26</v>
      </c>
      <c r="E175" s="76" t="s">
        <v>18</v>
      </c>
      <c r="F175" s="76"/>
      <c r="G175" s="76"/>
      <c r="H175" s="76"/>
      <c r="I175" s="76" t="s">
        <v>16</v>
      </c>
      <c r="J175" s="76"/>
    </row>
    <row r="176" spans="1:17">
      <c r="A176" s="73">
        <v>46191</v>
      </c>
      <c r="B176" s="76" t="s">
        <v>19</v>
      </c>
      <c r="C176" s="76" t="s">
        <v>20</v>
      </c>
      <c r="D176" s="76" t="s">
        <v>26</v>
      </c>
      <c r="E176" s="76" t="s">
        <v>13</v>
      </c>
      <c r="F176" s="76"/>
      <c r="G176" s="76"/>
      <c r="H176" s="76"/>
      <c r="I176" s="76" t="s">
        <v>54</v>
      </c>
      <c r="J176" s="76"/>
    </row>
    <row r="177" spans="1:12">
      <c r="A177" s="73">
        <v>46192</v>
      </c>
      <c r="B177" s="76" t="s">
        <v>19</v>
      </c>
      <c r="C177" s="76" t="s">
        <v>17</v>
      </c>
      <c r="D177" s="76" t="s">
        <v>26</v>
      </c>
      <c r="E177" s="76" t="s">
        <v>13</v>
      </c>
      <c r="F177" s="76"/>
      <c r="G177" s="76"/>
      <c r="H177" s="76"/>
      <c r="I177" s="76" t="s">
        <v>54</v>
      </c>
      <c r="J177" s="76"/>
    </row>
    <row r="178" spans="1:12">
      <c r="A178" s="83">
        <v>46193</v>
      </c>
      <c r="B178" s="84" t="s">
        <v>22</v>
      </c>
      <c r="C178" s="84"/>
      <c r="D178" s="84" t="s">
        <v>20</v>
      </c>
      <c r="E178" s="84" t="s">
        <v>13</v>
      </c>
      <c r="F178" s="84"/>
      <c r="G178" s="84"/>
      <c r="H178" s="84"/>
      <c r="I178" s="84"/>
      <c r="J178" s="84"/>
    </row>
    <row r="179" spans="1:12">
      <c r="A179" s="83">
        <v>46194</v>
      </c>
      <c r="B179" s="84" t="s">
        <v>22</v>
      </c>
      <c r="C179" s="84"/>
      <c r="D179" s="84" t="s">
        <v>20</v>
      </c>
      <c r="E179" s="84" t="s">
        <v>13</v>
      </c>
      <c r="F179" s="84"/>
      <c r="G179" s="84"/>
      <c r="H179" s="84"/>
      <c r="I179" s="84"/>
      <c r="J179" s="84"/>
    </row>
    <row r="180" spans="1:12">
      <c r="A180" s="73">
        <v>46195</v>
      </c>
      <c r="B180" s="76" t="s">
        <v>14</v>
      </c>
      <c r="C180" s="76" t="s">
        <v>20</v>
      </c>
      <c r="D180" s="76" t="s">
        <v>18</v>
      </c>
      <c r="E180" s="76"/>
      <c r="F180" s="76"/>
      <c r="G180" s="76"/>
      <c r="H180" s="76"/>
      <c r="I180" s="76" t="s">
        <v>13</v>
      </c>
      <c r="J180" s="76"/>
    </row>
    <row r="181" spans="1:12">
      <c r="A181" s="73">
        <v>46196</v>
      </c>
      <c r="B181" s="76" t="s">
        <v>14</v>
      </c>
      <c r="C181" s="76" t="s">
        <v>20</v>
      </c>
      <c r="D181" s="76" t="s">
        <v>18</v>
      </c>
      <c r="E181" s="76"/>
      <c r="F181" s="76"/>
      <c r="G181" s="76"/>
      <c r="H181" s="76"/>
      <c r="I181" s="76" t="s">
        <v>13</v>
      </c>
      <c r="J181" s="76"/>
    </row>
    <row r="182" spans="1:12">
      <c r="A182" s="73">
        <v>46197</v>
      </c>
      <c r="B182" s="76" t="s">
        <v>14</v>
      </c>
      <c r="C182" s="76" t="s">
        <v>20</v>
      </c>
      <c r="D182" s="76" t="s">
        <v>18</v>
      </c>
      <c r="E182" s="76"/>
      <c r="F182" s="76"/>
      <c r="G182" s="76"/>
      <c r="H182" s="76"/>
      <c r="I182" s="76" t="s">
        <v>13</v>
      </c>
      <c r="J182" s="76"/>
    </row>
    <row r="183" spans="1:12">
      <c r="A183" s="73">
        <v>46198</v>
      </c>
      <c r="B183" s="76" t="s">
        <v>14</v>
      </c>
      <c r="C183" s="76" t="s">
        <v>20</v>
      </c>
      <c r="D183" s="76" t="s">
        <v>18</v>
      </c>
      <c r="E183" s="76" t="s">
        <v>17</v>
      </c>
      <c r="F183" s="76"/>
      <c r="G183" s="76"/>
      <c r="H183" s="76"/>
      <c r="I183" s="76" t="s">
        <v>47</v>
      </c>
      <c r="J183" s="76"/>
    </row>
    <row r="184" spans="1:12">
      <c r="A184" s="73">
        <v>46199</v>
      </c>
      <c r="B184" s="76" t="s">
        <v>14</v>
      </c>
      <c r="C184" s="76" t="s">
        <v>20</v>
      </c>
      <c r="D184" s="76" t="s">
        <v>18</v>
      </c>
      <c r="E184" s="76" t="s">
        <v>17</v>
      </c>
      <c r="F184" s="76"/>
      <c r="G184" s="76"/>
      <c r="H184" s="76"/>
      <c r="I184" s="76" t="s">
        <v>13</v>
      </c>
      <c r="J184" s="76"/>
    </row>
    <row r="185" spans="1:12">
      <c r="A185" s="83">
        <v>46200</v>
      </c>
      <c r="B185" s="84" t="s">
        <v>26</v>
      </c>
      <c r="C185" s="84"/>
      <c r="D185" s="84" t="s">
        <v>18</v>
      </c>
      <c r="E185" s="84" t="s">
        <v>17</v>
      </c>
      <c r="F185" s="84"/>
      <c r="G185" s="84"/>
      <c r="H185" s="84"/>
      <c r="I185" s="84"/>
      <c r="J185" s="84" t="s">
        <v>20</v>
      </c>
    </row>
    <row r="186" spans="1:12">
      <c r="A186" s="83">
        <v>46201</v>
      </c>
      <c r="B186" s="84" t="s">
        <v>26</v>
      </c>
      <c r="C186" s="84"/>
      <c r="D186" s="84" t="s">
        <v>18</v>
      </c>
      <c r="E186" s="84" t="s">
        <v>17</v>
      </c>
      <c r="F186" s="84"/>
      <c r="G186" s="84"/>
      <c r="H186" s="84"/>
      <c r="I186" s="84"/>
      <c r="J186" s="84" t="s">
        <v>20</v>
      </c>
    </row>
    <row r="187" spans="1:12">
      <c r="A187" s="73">
        <v>46202</v>
      </c>
      <c r="B187" s="76" t="s">
        <v>26</v>
      </c>
      <c r="C187" s="76" t="s">
        <v>19</v>
      </c>
      <c r="D187" s="76" t="s">
        <v>22</v>
      </c>
      <c r="E187" s="76" t="s">
        <v>13</v>
      </c>
      <c r="F187" s="76"/>
      <c r="G187" s="76"/>
      <c r="H187" s="76"/>
      <c r="I187" s="76" t="s">
        <v>17</v>
      </c>
      <c r="J187" s="76" t="s">
        <v>20</v>
      </c>
      <c r="L187" s="81"/>
    </row>
    <row r="188" spans="1:12">
      <c r="A188" s="73">
        <v>46203</v>
      </c>
      <c r="B188" s="76" t="s">
        <v>26</v>
      </c>
      <c r="C188" s="76" t="s">
        <v>19</v>
      </c>
      <c r="D188" s="76" t="s">
        <v>22</v>
      </c>
      <c r="E188" s="76" t="s">
        <v>13</v>
      </c>
      <c r="F188" s="76"/>
      <c r="G188" s="76"/>
      <c r="H188" s="76"/>
      <c r="I188" s="76" t="s">
        <v>17</v>
      </c>
      <c r="J188" s="76" t="s">
        <v>20</v>
      </c>
      <c r="L188" s="81"/>
    </row>
    <row r="189" spans="1:12">
      <c r="A189" s="98" t="s">
        <v>55</v>
      </c>
      <c r="B189" s="99" t="s">
        <v>55</v>
      </c>
      <c r="C189" s="99" t="s">
        <v>55</v>
      </c>
      <c r="D189" s="99" t="s">
        <v>55</v>
      </c>
      <c r="E189" s="99" t="s">
        <v>55</v>
      </c>
      <c r="F189" s="99" t="s">
        <v>55</v>
      </c>
      <c r="G189" s="99"/>
      <c r="H189" s="99"/>
      <c r="I189" s="99"/>
      <c r="J189" s="99" t="s">
        <v>55</v>
      </c>
    </row>
    <row r="190" spans="1:12">
      <c r="A190" s="73">
        <v>46204</v>
      </c>
      <c r="B190" s="76" t="s">
        <v>26</v>
      </c>
      <c r="C190" s="76" t="s">
        <v>19</v>
      </c>
      <c r="D190" s="76" t="s">
        <v>22</v>
      </c>
      <c r="E190" s="76" t="s">
        <v>13</v>
      </c>
      <c r="F190" s="76"/>
      <c r="G190" s="76"/>
      <c r="H190" s="76"/>
      <c r="I190" s="76" t="s">
        <v>17</v>
      </c>
      <c r="J190" s="76" t="s">
        <v>20</v>
      </c>
    </row>
    <row r="191" spans="1:12">
      <c r="A191" s="73">
        <v>46205</v>
      </c>
      <c r="B191" s="76" t="s">
        <v>26</v>
      </c>
      <c r="C191" s="76" t="s">
        <v>19</v>
      </c>
      <c r="D191" s="76" t="s">
        <v>22</v>
      </c>
      <c r="E191" s="76"/>
      <c r="F191" s="76"/>
      <c r="G191" s="76"/>
      <c r="H191" s="76"/>
      <c r="I191" s="76" t="s">
        <v>31</v>
      </c>
      <c r="J191" s="76" t="s">
        <v>20</v>
      </c>
    </row>
    <row r="192" spans="1:12">
      <c r="A192" s="73">
        <v>46206</v>
      </c>
      <c r="B192" s="76" t="s">
        <v>26</v>
      </c>
      <c r="C192" s="76" t="s">
        <v>19</v>
      </c>
      <c r="D192" s="76" t="s">
        <v>22</v>
      </c>
      <c r="E192" s="76"/>
      <c r="F192" s="76"/>
      <c r="G192" s="76"/>
      <c r="H192" s="76"/>
      <c r="I192" s="76" t="s">
        <v>31</v>
      </c>
      <c r="J192" s="76" t="s">
        <v>20</v>
      </c>
    </row>
    <row r="193" spans="1:12">
      <c r="A193" s="77">
        <v>46207</v>
      </c>
      <c r="B193" s="78" t="s">
        <v>16</v>
      </c>
      <c r="C193" s="78"/>
      <c r="D193" s="78" t="s">
        <v>22</v>
      </c>
      <c r="E193" s="78"/>
      <c r="F193" s="78"/>
      <c r="G193" s="78"/>
      <c r="H193" s="78"/>
      <c r="I193" s="78"/>
      <c r="J193" s="78" t="s">
        <v>20</v>
      </c>
    </row>
    <row r="194" spans="1:12">
      <c r="A194" s="83">
        <v>46208</v>
      </c>
      <c r="B194" s="96" t="s">
        <v>16</v>
      </c>
      <c r="C194" s="92"/>
      <c r="D194" s="96" t="s">
        <v>22</v>
      </c>
      <c r="E194" s="84"/>
      <c r="F194" s="92"/>
      <c r="G194" s="92"/>
      <c r="H194" s="92"/>
      <c r="I194" s="92"/>
      <c r="J194" s="96" t="s">
        <v>20</v>
      </c>
    </row>
    <row r="195" spans="1:12">
      <c r="A195" s="73">
        <v>46209</v>
      </c>
      <c r="B195" s="76" t="s">
        <v>20</v>
      </c>
      <c r="C195" s="76" t="s">
        <v>18</v>
      </c>
      <c r="D195" s="76" t="s">
        <v>14</v>
      </c>
      <c r="E195" s="76" t="s">
        <v>17</v>
      </c>
      <c r="F195" s="76"/>
      <c r="G195" s="76"/>
      <c r="H195" s="76"/>
      <c r="I195" s="76"/>
      <c r="J195" s="76"/>
    </row>
    <row r="196" spans="1:12">
      <c r="A196" s="73">
        <v>46210</v>
      </c>
      <c r="B196" s="76" t="s">
        <v>20</v>
      </c>
      <c r="C196" s="76" t="s">
        <v>18</v>
      </c>
      <c r="D196" s="76" t="s">
        <v>14</v>
      </c>
      <c r="E196" s="76" t="s">
        <v>17</v>
      </c>
      <c r="F196" s="76"/>
      <c r="G196" s="76"/>
      <c r="H196" s="76"/>
      <c r="I196" s="76"/>
      <c r="J196" s="76"/>
      <c r="L196" s="81"/>
    </row>
    <row r="197" spans="1:12">
      <c r="A197" s="73">
        <v>46211</v>
      </c>
      <c r="B197" s="76" t="s">
        <v>20</v>
      </c>
      <c r="C197" s="76" t="s">
        <v>18</v>
      </c>
      <c r="D197" s="76" t="s">
        <v>14</v>
      </c>
      <c r="E197" s="76" t="s">
        <v>17</v>
      </c>
      <c r="F197" s="76"/>
      <c r="G197" s="76"/>
      <c r="H197" s="76"/>
      <c r="I197" s="76"/>
      <c r="J197" s="76"/>
    </row>
    <row r="198" spans="1:12">
      <c r="A198" s="73">
        <v>46212</v>
      </c>
      <c r="B198" s="76" t="s">
        <v>20</v>
      </c>
      <c r="C198" s="76" t="s">
        <v>18</v>
      </c>
      <c r="D198" s="76" t="s">
        <v>14</v>
      </c>
      <c r="E198" s="76" t="s">
        <v>13</v>
      </c>
      <c r="F198" s="76"/>
      <c r="G198" s="76"/>
      <c r="H198" s="76"/>
      <c r="I198" s="76"/>
      <c r="J198" s="76"/>
    </row>
    <row r="199" spans="1:12">
      <c r="A199" s="73">
        <v>46213</v>
      </c>
      <c r="B199" s="76" t="s">
        <v>20</v>
      </c>
      <c r="C199" s="76" t="s">
        <v>18</v>
      </c>
      <c r="D199" s="76" t="s">
        <v>14</v>
      </c>
      <c r="E199" s="76" t="s">
        <v>13</v>
      </c>
      <c r="F199" s="76"/>
      <c r="G199" s="76"/>
      <c r="H199" s="76"/>
      <c r="I199" s="76"/>
      <c r="J199" s="76"/>
    </row>
    <row r="200" spans="1:12">
      <c r="A200" s="83">
        <v>46214</v>
      </c>
      <c r="B200" s="84" t="s">
        <v>18</v>
      </c>
      <c r="C200" s="84"/>
      <c r="D200" s="84" t="s">
        <v>14</v>
      </c>
      <c r="E200" s="84" t="s">
        <v>13</v>
      </c>
      <c r="F200" s="84"/>
      <c r="G200" s="84"/>
      <c r="H200" s="84"/>
      <c r="I200" s="84"/>
      <c r="J200" s="84"/>
    </row>
    <row r="201" spans="1:12">
      <c r="A201" s="83">
        <v>46215</v>
      </c>
      <c r="B201" s="84" t="s">
        <v>18</v>
      </c>
      <c r="C201" s="84"/>
      <c r="D201" s="84" t="s">
        <v>14</v>
      </c>
      <c r="E201" s="84" t="s">
        <v>13</v>
      </c>
      <c r="F201" s="84"/>
      <c r="G201" s="84"/>
      <c r="H201" s="84"/>
      <c r="I201" s="84"/>
      <c r="J201" s="84"/>
    </row>
    <row r="202" spans="1:12">
      <c r="A202" s="73">
        <v>46216</v>
      </c>
      <c r="B202" s="76" t="s">
        <v>22</v>
      </c>
      <c r="C202" s="76" t="s">
        <v>19</v>
      </c>
      <c r="D202" s="76" t="s">
        <v>20</v>
      </c>
      <c r="E202" s="76"/>
      <c r="F202" s="76"/>
      <c r="G202" s="76"/>
      <c r="H202" s="76"/>
      <c r="I202" s="76"/>
      <c r="J202" s="76"/>
    </row>
    <row r="203" spans="1:12">
      <c r="A203" s="73">
        <v>46217</v>
      </c>
      <c r="B203" s="76" t="s">
        <v>22</v>
      </c>
      <c r="C203" s="76" t="s">
        <v>19</v>
      </c>
      <c r="D203" s="76" t="s">
        <v>20</v>
      </c>
      <c r="E203" s="76"/>
      <c r="F203" s="76"/>
      <c r="G203" s="76"/>
      <c r="H203" s="76"/>
      <c r="I203" s="76"/>
      <c r="J203" s="76"/>
    </row>
    <row r="204" spans="1:12">
      <c r="A204" s="73">
        <v>46218</v>
      </c>
      <c r="B204" s="76" t="s">
        <v>22</v>
      </c>
      <c r="C204" s="76" t="s">
        <v>19</v>
      </c>
      <c r="D204" s="76" t="s">
        <v>20</v>
      </c>
      <c r="E204" s="76"/>
      <c r="F204" s="76"/>
      <c r="G204" s="76"/>
      <c r="H204" s="76"/>
      <c r="I204" s="76"/>
      <c r="J204" s="76"/>
    </row>
    <row r="205" spans="1:12">
      <c r="A205" s="73">
        <v>46219</v>
      </c>
      <c r="B205" s="76" t="s">
        <v>22</v>
      </c>
      <c r="C205" s="76" t="s">
        <v>19</v>
      </c>
      <c r="D205" s="76" t="s">
        <v>20</v>
      </c>
      <c r="E205" s="76" t="s">
        <v>17</v>
      </c>
      <c r="F205" s="76"/>
      <c r="G205" s="76"/>
      <c r="H205" s="76"/>
      <c r="I205" s="76"/>
      <c r="J205" s="76"/>
    </row>
    <row r="206" spans="1:12">
      <c r="A206" s="73">
        <v>46220</v>
      </c>
      <c r="B206" s="76" t="s">
        <v>22</v>
      </c>
      <c r="C206" s="76" t="s">
        <v>19</v>
      </c>
      <c r="D206" s="76" t="s">
        <v>20</v>
      </c>
      <c r="E206" s="76" t="s">
        <v>17</v>
      </c>
      <c r="F206" s="76"/>
      <c r="G206" s="76"/>
      <c r="H206" s="76"/>
      <c r="I206" s="76"/>
      <c r="J206" s="76"/>
    </row>
    <row r="207" spans="1:12">
      <c r="A207" s="83">
        <v>46221</v>
      </c>
      <c r="B207" s="84" t="s">
        <v>19</v>
      </c>
      <c r="C207" s="84"/>
      <c r="D207" s="84" t="s">
        <v>22</v>
      </c>
      <c r="E207" s="84" t="s">
        <v>17</v>
      </c>
      <c r="F207" s="84"/>
      <c r="G207" s="84"/>
      <c r="H207" s="84"/>
      <c r="I207" s="84"/>
      <c r="J207" s="84"/>
    </row>
    <row r="208" spans="1:12">
      <c r="A208" s="83">
        <v>46222</v>
      </c>
      <c r="B208" s="84" t="s">
        <v>19</v>
      </c>
      <c r="C208" s="84"/>
      <c r="D208" s="84" t="s">
        <v>22</v>
      </c>
      <c r="E208" s="84" t="s">
        <v>17</v>
      </c>
      <c r="F208" s="84"/>
      <c r="G208" s="84"/>
      <c r="H208" s="84"/>
      <c r="I208" s="84"/>
      <c r="J208" s="84"/>
    </row>
    <row r="209" spans="1:14">
      <c r="A209" s="73">
        <v>46223</v>
      </c>
      <c r="B209" s="76" t="s">
        <v>16</v>
      </c>
      <c r="C209" s="76" t="s">
        <v>27</v>
      </c>
      <c r="D209" s="76" t="s">
        <v>26</v>
      </c>
      <c r="E209" s="76" t="s">
        <v>13</v>
      </c>
      <c r="F209" s="76"/>
      <c r="G209" s="76"/>
      <c r="H209" s="76"/>
      <c r="I209" s="76"/>
      <c r="J209" s="76"/>
      <c r="N209" t="s">
        <v>44</v>
      </c>
    </row>
    <row r="210" spans="1:14">
      <c r="A210" s="73">
        <v>46224</v>
      </c>
      <c r="B210" s="76" t="s">
        <v>16</v>
      </c>
      <c r="C210" s="76" t="s">
        <v>27</v>
      </c>
      <c r="D210" s="76" t="s">
        <v>26</v>
      </c>
      <c r="E210" s="76" t="s">
        <v>13</v>
      </c>
      <c r="F210" s="76"/>
      <c r="G210" s="76"/>
      <c r="H210" s="76"/>
      <c r="I210" s="76"/>
      <c r="J210" s="76"/>
    </row>
    <row r="211" spans="1:14">
      <c r="A211" s="73">
        <v>46225</v>
      </c>
      <c r="B211" s="76" t="s">
        <v>16</v>
      </c>
      <c r="C211" s="76" t="s">
        <v>27</v>
      </c>
      <c r="D211" s="76" t="s">
        <v>26</v>
      </c>
      <c r="E211" s="76" t="s">
        <v>13</v>
      </c>
      <c r="F211" s="76"/>
      <c r="G211" s="76"/>
      <c r="H211" s="76"/>
      <c r="I211" s="76"/>
      <c r="J211" s="76"/>
    </row>
    <row r="212" spans="1:14">
      <c r="A212" s="73">
        <v>46226</v>
      </c>
      <c r="B212" s="76" t="s">
        <v>16</v>
      </c>
      <c r="C212" s="76" t="s">
        <v>27</v>
      </c>
      <c r="D212" s="76" t="s">
        <v>26</v>
      </c>
      <c r="E212" s="76"/>
      <c r="F212" s="76"/>
      <c r="G212" s="76"/>
      <c r="H212" s="76"/>
      <c r="I212" s="76"/>
      <c r="J212" s="76"/>
    </row>
    <row r="213" spans="1:14">
      <c r="A213" s="73">
        <v>46227</v>
      </c>
      <c r="B213" s="76" t="s">
        <v>16</v>
      </c>
      <c r="C213" s="76" t="s">
        <v>27</v>
      </c>
      <c r="D213" s="76" t="s">
        <v>26</v>
      </c>
      <c r="E213" s="76"/>
      <c r="F213" s="76"/>
      <c r="G213" s="76"/>
      <c r="H213" s="76"/>
      <c r="I213" s="76"/>
      <c r="J213" s="76"/>
    </row>
    <row r="214" spans="1:14">
      <c r="A214" s="83">
        <v>46228</v>
      </c>
      <c r="B214" s="84" t="s">
        <v>27</v>
      </c>
      <c r="C214" s="84"/>
      <c r="D214" s="84" t="s">
        <v>26</v>
      </c>
      <c r="E214" s="84"/>
      <c r="F214" s="84"/>
      <c r="G214" s="84"/>
      <c r="H214" s="84"/>
      <c r="I214" s="84"/>
      <c r="J214" s="84"/>
    </row>
    <row r="215" spans="1:14">
      <c r="A215" s="83">
        <v>46229</v>
      </c>
      <c r="B215" s="84" t="s">
        <v>27</v>
      </c>
      <c r="C215" s="84"/>
      <c r="D215" s="84" t="s">
        <v>26</v>
      </c>
      <c r="E215" s="84"/>
      <c r="F215" s="84"/>
      <c r="G215" s="84"/>
      <c r="H215" s="84"/>
      <c r="I215" s="84"/>
      <c r="J215" s="84"/>
    </row>
    <row r="216" spans="1:14">
      <c r="A216" s="73">
        <v>46230</v>
      </c>
      <c r="B216" s="76" t="s">
        <v>14</v>
      </c>
      <c r="C216" s="76" t="s">
        <v>16</v>
      </c>
      <c r="D216" s="76" t="s">
        <v>13</v>
      </c>
      <c r="E216" s="76" t="s">
        <v>17</v>
      </c>
      <c r="F216" s="76"/>
      <c r="G216" s="76"/>
      <c r="H216" s="76"/>
      <c r="I216" s="76"/>
      <c r="J216" s="76"/>
    </row>
    <row r="217" spans="1:14">
      <c r="A217" s="73">
        <v>46231</v>
      </c>
      <c r="B217" s="76" t="s">
        <v>14</v>
      </c>
      <c r="C217" s="76" t="s">
        <v>16</v>
      </c>
      <c r="D217" s="76" t="s">
        <v>13</v>
      </c>
      <c r="E217" s="76" t="s">
        <v>17</v>
      </c>
      <c r="F217" s="76"/>
      <c r="G217" s="76"/>
      <c r="H217" s="76"/>
      <c r="I217" s="76"/>
      <c r="J217" s="76"/>
    </row>
    <row r="218" spans="1:14">
      <c r="A218" s="73">
        <v>46232</v>
      </c>
      <c r="B218" s="76" t="s">
        <v>14</v>
      </c>
      <c r="C218" s="76" t="s">
        <v>16</v>
      </c>
      <c r="D218" s="76" t="s">
        <v>13</v>
      </c>
      <c r="E218" s="76" t="s">
        <v>17</v>
      </c>
      <c r="F218" s="76"/>
      <c r="G218" s="76"/>
      <c r="H218" s="76"/>
      <c r="I218" s="76"/>
      <c r="J218" s="76"/>
    </row>
    <row r="219" spans="1:14">
      <c r="A219" s="73">
        <v>46233</v>
      </c>
      <c r="B219" s="76" t="s">
        <v>14</v>
      </c>
      <c r="C219" s="76" t="s">
        <v>16</v>
      </c>
      <c r="D219" s="76" t="s">
        <v>13</v>
      </c>
      <c r="E219" s="76"/>
      <c r="F219" s="4"/>
      <c r="G219" s="4"/>
      <c r="H219" s="4"/>
      <c r="I219" s="4"/>
      <c r="J219" s="4"/>
    </row>
    <row r="220" spans="1:14">
      <c r="A220" s="73">
        <v>46234</v>
      </c>
      <c r="B220" s="76" t="s">
        <v>14</v>
      </c>
      <c r="C220" s="76" t="s">
        <v>16</v>
      </c>
      <c r="D220" s="76" t="s">
        <v>13</v>
      </c>
      <c r="E220" s="76"/>
      <c r="F220" s="4"/>
      <c r="G220" s="4"/>
      <c r="H220" s="4"/>
      <c r="I220" s="4"/>
      <c r="J220" s="4"/>
    </row>
    <row r="221" spans="1:14">
      <c r="A221" s="98" t="s">
        <v>56</v>
      </c>
      <c r="B221" s="98" t="s">
        <v>56</v>
      </c>
      <c r="C221" s="98" t="s">
        <v>56</v>
      </c>
      <c r="D221" s="98" t="s">
        <v>56</v>
      </c>
      <c r="E221" s="98" t="s">
        <v>56</v>
      </c>
      <c r="F221" s="98" t="s">
        <v>56</v>
      </c>
      <c r="G221" s="98"/>
      <c r="H221" s="98"/>
      <c r="I221" s="98"/>
      <c r="J221" s="98" t="s">
        <v>56</v>
      </c>
    </row>
    <row r="222" spans="1:14">
      <c r="A222" s="83">
        <v>46235</v>
      </c>
      <c r="B222" s="84" t="s">
        <v>16</v>
      </c>
      <c r="C222" s="84"/>
      <c r="D222" s="84" t="s">
        <v>13</v>
      </c>
      <c r="E222" s="84"/>
      <c r="F222" s="84"/>
      <c r="G222" s="84"/>
      <c r="H222" s="84"/>
      <c r="I222" s="84"/>
      <c r="J222" s="84"/>
    </row>
    <row r="223" spans="1:14">
      <c r="A223" s="83">
        <v>46236</v>
      </c>
      <c r="B223" s="84" t="s">
        <v>16</v>
      </c>
      <c r="C223" s="84"/>
      <c r="D223" s="84" t="s">
        <v>13</v>
      </c>
      <c r="E223" s="84"/>
      <c r="F223" s="84"/>
      <c r="G223" s="84"/>
      <c r="H223" s="84"/>
      <c r="I223" s="84"/>
      <c r="J223" s="84"/>
    </row>
    <row r="224" spans="1:14">
      <c r="A224" s="73">
        <v>46237</v>
      </c>
      <c r="B224" s="4" t="s">
        <v>18</v>
      </c>
      <c r="C224" s="4" t="s">
        <v>26</v>
      </c>
      <c r="D224" s="4" t="s">
        <v>22</v>
      </c>
      <c r="E224" s="76"/>
      <c r="F224" s="4"/>
      <c r="G224" s="4"/>
      <c r="H224" s="4"/>
      <c r="I224" s="4"/>
      <c r="J224" s="4"/>
    </row>
    <row r="225" spans="1:14">
      <c r="A225" s="73">
        <v>46238</v>
      </c>
      <c r="B225" s="4" t="s">
        <v>18</v>
      </c>
      <c r="C225" s="4" t="s">
        <v>26</v>
      </c>
      <c r="D225" s="4" t="s">
        <v>22</v>
      </c>
      <c r="E225" s="76"/>
      <c r="F225" s="4"/>
      <c r="G225" s="4"/>
      <c r="H225" s="4"/>
      <c r="I225" s="4"/>
      <c r="J225" s="4"/>
    </row>
    <row r="226" spans="1:14">
      <c r="A226" s="73">
        <v>46239</v>
      </c>
      <c r="B226" s="4" t="s">
        <v>18</v>
      </c>
      <c r="C226" s="4" t="s">
        <v>26</v>
      </c>
      <c r="D226" s="4" t="s">
        <v>22</v>
      </c>
      <c r="E226" s="76"/>
      <c r="F226" s="4"/>
      <c r="G226" s="4"/>
      <c r="H226" s="4"/>
      <c r="I226" s="4"/>
      <c r="J226" s="4"/>
    </row>
    <row r="227" spans="1:14">
      <c r="A227" s="73">
        <v>46240</v>
      </c>
      <c r="B227" s="4" t="s">
        <v>18</v>
      </c>
      <c r="C227" s="4" t="s">
        <v>26</v>
      </c>
      <c r="D227" s="4" t="s">
        <v>22</v>
      </c>
      <c r="E227" s="76"/>
      <c r="F227" s="4"/>
      <c r="G227" s="4"/>
      <c r="H227" s="4"/>
      <c r="I227" s="4"/>
      <c r="J227" s="4"/>
    </row>
    <row r="228" spans="1:14">
      <c r="A228" s="73">
        <v>46241</v>
      </c>
      <c r="B228" s="4" t="s">
        <v>18</v>
      </c>
      <c r="C228" s="4" t="s">
        <v>26</v>
      </c>
      <c r="D228" s="4" t="s">
        <v>22</v>
      </c>
      <c r="E228" s="76"/>
      <c r="F228" s="4"/>
      <c r="G228" s="4"/>
      <c r="H228" s="4"/>
      <c r="I228" s="4"/>
      <c r="J228" s="4"/>
      <c r="K228" t="s">
        <v>57</v>
      </c>
    </row>
    <row r="229" spans="1:14">
      <c r="A229" s="83">
        <v>46242</v>
      </c>
      <c r="B229" s="84" t="s">
        <v>18</v>
      </c>
      <c r="C229" s="84"/>
      <c r="D229" s="84" t="s">
        <v>22</v>
      </c>
      <c r="E229" s="84"/>
      <c r="F229" s="84"/>
      <c r="G229" s="84"/>
      <c r="H229" s="84"/>
      <c r="I229" s="84"/>
      <c r="J229" s="84"/>
    </row>
    <row r="230" spans="1:14">
      <c r="A230" s="83">
        <v>46243</v>
      </c>
      <c r="B230" s="84" t="s">
        <v>18</v>
      </c>
      <c r="C230" s="84"/>
      <c r="D230" s="84" t="s">
        <v>22</v>
      </c>
      <c r="E230" s="84"/>
      <c r="F230" s="84"/>
      <c r="G230" s="84"/>
      <c r="H230" s="84"/>
      <c r="I230" s="84"/>
      <c r="J230" s="84"/>
    </row>
    <row r="231" spans="1:14">
      <c r="A231" s="73">
        <v>46244</v>
      </c>
      <c r="B231" s="4" t="s">
        <v>14</v>
      </c>
      <c r="C231" s="4" t="s">
        <v>17</v>
      </c>
      <c r="D231" s="4" t="s">
        <v>19</v>
      </c>
      <c r="E231" s="76"/>
      <c r="F231" s="4"/>
      <c r="G231" s="4"/>
      <c r="H231" s="4"/>
      <c r="I231" s="4"/>
      <c r="J231" s="4"/>
      <c r="K231" t="s">
        <v>16</v>
      </c>
      <c r="M231" t="s">
        <v>58</v>
      </c>
      <c r="N231" t="s">
        <v>20</v>
      </c>
    </row>
    <row r="232" spans="1:14">
      <c r="A232" s="73">
        <v>46245</v>
      </c>
      <c r="B232" s="4" t="s">
        <v>14</v>
      </c>
      <c r="C232" s="4" t="s">
        <v>17</v>
      </c>
      <c r="D232" s="4" t="s">
        <v>19</v>
      </c>
      <c r="E232" s="76"/>
      <c r="F232" s="4"/>
      <c r="G232" s="4"/>
      <c r="H232" s="4"/>
      <c r="I232" s="4"/>
      <c r="J232" s="4"/>
      <c r="K232" t="s">
        <v>16</v>
      </c>
      <c r="M232" t="s">
        <v>58</v>
      </c>
      <c r="N232" t="s">
        <v>20</v>
      </c>
    </row>
    <row r="233" spans="1:14">
      <c r="A233" s="73">
        <v>46246</v>
      </c>
      <c r="B233" s="4" t="s">
        <v>14</v>
      </c>
      <c r="C233" s="4" t="s">
        <v>17</v>
      </c>
      <c r="D233" s="4" t="s">
        <v>19</v>
      </c>
      <c r="E233" s="76"/>
      <c r="F233" s="4"/>
      <c r="G233" s="4"/>
      <c r="H233" s="4"/>
      <c r="I233" s="4"/>
      <c r="J233" s="4"/>
      <c r="K233" t="s">
        <v>16</v>
      </c>
      <c r="M233" t="s">
        <v>58</v>
      </c>
      <c r="N233" t="s">
        <v>20</v>
      </c>
    </row>
    <row r="234" spans="1:14">
      <c r="A234" s="73">
        <v>46247</v>
      </c>
      <c r="B234" s="4" t="s">
        <v>14</v>
      </c>
      <c r="C234" s="4" t="s">
        <v>17</v>
      </c>
      <c r="D234" s="4" t="s">
        <v>19</v>
      </c>
      <c r="E234" s="76"/>
      <c r="F234" s="4"/>
      <c r="G234" s="4"/>
      <c r="H234" s="4"/>
      <c r="I234" s="4"/>
      <c r="J234" s="4"/>
      <c r="K234" t="s">
        <v>16</v>
      </c>
      <c r="M234" t="s">
        <v>58</v>
      </c>
      <c r="N234" t="s">
        <v>20</v>
      </c>
    </row>
    <row r="235" spans="1:14">
      <c r="A235" s="73">
        <v>46248</v>
      </c>
      <c r="B235" s="4" t="s">
        <v>14</v>
      </c>
      <c r="C235" s="4" t="s">
        <v>17</v>
      </c>
      <c r="D235" s="4" t="s">
        <v>19</v>
      </c>
      <c r="E235" s="76"/>
      <c r="F235" s="4"/>
      <c r="G235" s="4"/>
      <c r="H235" s="4"/>
      <c r="I235" s="4"/>
      <c r="J235" s="4"/>
      <c r="K235" t="s">
        <v>16</v>
      </c>
      <c r="M235" t="s">
        <v>58</v>
      </c>
      <c r="N235" t="s">
        <v>20</v>
      </c>
    </row>
    <row r="236" spans="1:14">
      <c r="A236" s="83">
        <v>46249</v>
      </c>
      <c r="B236" s="84" t="s">
        <v>14</v>
      </c>
      <c r="C236" s="84"/>
      <c r="D236" s="84" t="s">
        <v>19</v>
      </c>
      <c r="E236" s="84"/>
      <c r="F236" s="84"/>
      <c r="G236" s="84"/>
      <c r="H236" s="84"/>
      <c r="I236" s="84"/>
      <c r="J236" s="84"/>
      <c r="K236" t="s">
        <v>16</v>
      </c>
      <c r="M236" t="s">
        <v>58</v>
      </c>
      <c r="N236" t="s">
        <v>20</v>
      </c>
    </row>
    <row r="237" spans="1:14">
      <c r="A237" s="83">
        <v>46250</v>
      </c>
      <c r="B237" s="84" t="s">
        <v>14</v>
      </c>
      <c r="C237" s="84"/>
      <c r="D237" s="84" t="s">
        <v>19</v>
      </c>
      <c r="E237" s="84"/>
      <c r="F237" s="84"/>
      <c r="G237" s="84"/>
      <c r="H237" s="84"/>
      <c r="I237" s="84"/>
      <c r="J237" s="84"/>
      <c r="K237" t="s">
        <v>16</v>
      </c>
      <c r="M237" t="s">
        <v>58</v>
      </c>
      <c r="N237" t="s">
        <v>20</v>
      </c>
    </row>
    <row r="238" spans="1:14">
      <c r="A238" s="73">
        <v>46251</v>
      </c>
      <c r="B238" s="4" t="s">
        <v>59</v>
      </c>
      <c r="C238" s="4" t="s">
        <v>16</v>
      </c>
      <c r="D238" s="4" t="s">
        <v>60</v>
      </c>
      <c r="E238" s="76" t="s">
        <v>22</v>
      </c>
      <c r="F238" s="4"/>
      <c r="G238" s="4"/>
      <c r="H238" s="4"/>
      <c r="I238" s="4"/>
      <c r="J238" s="4"/>
      <c r="L238" t="s">
        <v>14</v>
      </c>
      <c r="M238" t="s">
        <v>58</v>
      </c>
      <c r="N238" t="s">
        <v>20</v>
      </c>
    </row>
    <row r="239" spans="1:14">
      <c r="A239" s="73">
        <v>46252</v>
      </c>
      <c r="B239" s="4" t="s">
        <v>59</v>
      </c>
      <c r="C239" s="4" t="s">
        <v>16</v>
      </c>
      <c r="D239" s="4" t="s">
        <v>60</v>
      </c>
      <c r="E239" s="76" t="s">
        <v>22</v>
      </c>
      <c r="F239" s="4"/>
      <c r="G239" s="4"/>
      <c r="H239" s="4"/>
      <c r="I239" s="4"/>
      <c r="J239" s="4"/>
      <c r="L239" t="s">
        <v>14</v>
      </c>
      <c r="M239" t="s">
        <v>58</v>
      </c>
      <c r="N239" t="s">
        <v>20</v>
      </c>
    </row>
    <row r="240" spans="1:14">
      <c r="A240" s="73">
        <v>46253</v>
      </c>
      <c r="B240" s="4" t="s">
        <v>59</v>
      </c>
      <c r="C240" s="4" t="s">
        <v>16</v>
      </c>
      <c r="D240" s="4" t="s">
        <v>60</v>
      </c>
      <c r="E240" s="76" t="s">
        <v>22</v>
      </c>
      <c r="F240" s="4"/>
      <c r="G240" s="4"/>
      <c r="H240" s="4"/>
      <c r="I240" s="4"/>
      <c r="J240" s="4"/>
      <c r="L240" t="s">
        <v>14</v>
      </c>
      <c r="M240" t="s">
        <v>58</v>
      </c>
      <c r="N240" t="s">
        <v>20</v>
      </c>
    </row>
    <row r="241" spans="1:14">
      <c r="A241" s="73">
        <v>46254</v>
      </c>
      <c r="B241" s="4" t="s">
        <v>59</v>
      </c>
      <c r="C241" s="4" t="s">
        <v>16</v>
      </c>
      <c r="D241" s="4" t="s">
        <v>60</v>
      </c>
      <c r="E241" s="76"/>
      <c r="F241" s="4"/>
      <c r="G241" s="4"/>
      <c r="H241" s="4"/>
      <c r="I241" s="4"/>
      <c r="J241" s="4"/>
      <c r="L241" t="s">
        <v>14</v>
      </c>
      <c r="M241" t="s">
        <v>58</v>
      </c>
      <c r="N241" t="s">
        <v>20</v>
      </c>
    </row>
    <row r="242" spans="1:14">
      <c r="A242" s="73">
        <v>46255</v>
      </c>
      <c r="B242" s="4" t="s">
        <v>59</v>
      </c>
      <c r="C242" s="4" t="s">
        <v>16</v>
      </c>
      <c r="D242" s="4" t="s">
        <v>60</v>
      </c>
      <c r="E242" s="76"/>
      <c r="F242" s="4"/>
      <c r="G242" s="4"/>
      <c r="H242" s="4"/>
      <c r="I242" s="4"/>
      <c r="J242" s="4"/>
      <c r="L242" t="s">
        <v>14</v>
      </c>
      <c r="M242" t="s">
        <v>58</v>
      </c>
      <c r="N242" t="s">
        <v>20</v>
      </c>
    </row>
    <row r="243" spans="1:14">
      <c r="A243" s="83">
        <v>46256</v>
      </c>
      <c r="B243" s="84" t="s">
        <v>17</v>
      </c>
      <c r="C243" s="84"/>
      <c r="D243" s="84" t="s">
        <v>60</v>
      </c>
      <c r="E243" s="84"/>
      <c r="F243" s="84"/>
      <c r="G243" s="84"/>
      <c r="H243" s="84"/>
      <c r="I243" s="84"/>
      <c r="J243" s="84"/>
      <c r="L243" t="s">
        <v>14</v>
      </c>
      <c r="N243" t="s">
        <v>20</v>
      </c>
    </row>
    <row r="244" spans="1:14">
      <c r="A244" s="83">
        <v>46257</v>
      </c>
      <c r="B244" s="84" t="s">
        <v>17</v>
      </c>
      <c r="C244" s="84"/>
      <c r="D244" s="84" t="s">
        <v>60</v>
      </c>
      <c r="E244" s="84"/>
      <c r="F244" s="84"/>
      <c r="G244" s="84"/>
      <c r="H244" s="84"/>
      <c r="I244" s="84"/>
      <c r="J244" s="84"/>
      <c r="L244" t="s">
        <v>14</v>
      </c>
      <c r="N244" t="s">
        <v>20</v>
      </c>
    </row>
    <row r="245" spans="1:14">
      <c r="A245" s="73">
        <v>46258</v>
      </c>
      <c r="B245" s="4" t="s">
        <v>61</v>
      </c>
      <c r="C245" s="4" t="s">
        <v>26</v>
      </c>
      <c r="D245" s="4" t="s">
        <v>27</v>
      </c>
      <c r="E245" s="76"/>
      <c r="F245" s="4"/>
      <c r="G245" s="4"/>
      <c r="H245" s="4"/>
      <c r="I245" s="4"/>
      <c r="J245" s="4"/>
      <c r="L245" t="s">
        <v>14</v>
      </c>
    </row>
    <row r="246" spans="1:14">
      <c r="A246" s="73">
        <v>46259</v>
      </c>
      <c r="B246" s="4" t="s">
        <v>61</v>
      </c>
      <c r="C246" s="4" t="s">
        <v>26</v>
      </c>
      <c r="D246" s="4" t="s">
        <v>27</v>
      </c>
      <c r="E246" s="76"/>
      <c r="F246" s="4"/>
      <c r="G246" s="4"/>
      <c r="H246" s="4"/>
      <c r="I246" s="4"/>
      <c r="J246" s="4"/>
      <c r="L246" t="s">
        <v>14</v>
      </c>
    </row>
    <row r="247" spans="1:14">
      <c r="A247" s="73">
        <v>46260</v>
      </c>
      <c r="B247" s="4" t="s">
        <v>61</v>
      </c>
      <c r="C247" s="4" t="s">
        <v>26</v>
      </c>
      <c r="D247" s="4" t="s">
        <v>27</v>
      </c>
      <c r="E247" s="76"/>
      <c r="F247" s="4"/>
      <c r="G247" s="4"/>
      <c r="H247" s="4"/>
      <c r="I247" s="4"/>
      <c r="J247" s="4"/>
      <c r="L247" t="s">
        <v>14</v>
      </c>
    </row>
    <row r="248" spans="1:14">
      <c r="A248" s="73">
        <v>46261</v>
      </c>
      <c r="B248" s="4" t="s">
        <v>61</v>
      </c>
      <c r="C248" s="4" t="s">
        <v>26</v>
      </c>
      <c r="D248" s="4" t="s">
        <v>27</v>
      </c>
      <c r="E248" s="76" t="s">
        <v>22</v>
      </c>
      <c r="F248" s="4"/>
      <c r="G248" s="4"/>
      <c r="H248" s="4"/>
      <c r="I248" s="4"/>
      <c r="J248" s="4"/>
      <c r="L248" t="s">
        <v>14</v>
      </c>
    </row>
    <row r="249" spans="1:14">
      <c r="A249" s="73">
        <v>46262</v>
      </c>
      <c r="B249" s="4" t="s">
        <v>61</v>
      </c>
      <c r="C249" s="4" t="s">
        <v>26</v>
      </c>
      <c r="D249" s="4" t="s">
        <v>27</v>
      </c>
      <c r="E249" s="76" t="s">
        <v>22</v>
      </c>
      <c r="F249" s="4"/>
      <c r="G249" s="4"/>
      <c r="H249" s="4"/>
      <c r="I249" s="4"/>
      <c r="J249" s="4"/>
      <c r="L249" t="s">
        <v>14</v>
      </c>
    </row>
    <row r="250" spans="1:14">
      <c r="A250" s="83">
        <v>46263</v>
      </c>
      <c r="B250" s="84" t="s">
        <v>61</v>
      </c>
      <c r="C250" s="84"/>
      <c r="D250" s="84" t="s">
        <v>27</v>
      </c>
      <c r="E250" s="84" t="s">
        <v>22</v>
      </c>
      <c r="F250" s="84"/>
      <c r="G250" s="84"/>
      <c r="H250" s="84"/>
      <c r="I250" s="84"/>
      <c r="J250" s="84"/>
      <c r="L250" t="s">
        <v>14</v>
      </c>
    </row>
    <row r="251" spans="1:14">
      <c r="A251" s="83">
        <v>46264</v>
      </c>
      <c r="B251" s="84" t="s">
        <v>61</v>
      </c>
      <c r="C251" s="84"/>
      <c r="D251" s="84" t="s">
        <v>27</v>
      </c>
      <c r="E251" s="84" t="s">
        <v>22</v>
      </c>
      <c r="F251" s="84"/>
      <c r="G251" s="84"/>
      <c r="H251" s="84"/>
      <c r="I251" s="84"/>
      <c r="J251" s="84"/>
      <c r="L251" t="s">
        <v>14</v>
      </c>
    </row>
    <row r="252" spans="1:14">
      <c r="A252" s="73">
        <v>46265</v>
      </c>
      <c r="B252" s="4" t="s">
        <v>13</v>
      </c>
      <c r="C252" s="4" t="s">
        <v>59</v>
      </c>
      <c r="D252" s="4" t="s">
        <v>17</v>
      </c>
      <c r="E252" s="76"/>
      <c r="F252" s="4"/>
      <c r="G252" s="4"/>
      <c r="H252" s="4"/>
      <c r="I252" s="4"/>
      <c r="J252" s="4"/>
      <c r="L252" t="s">
        <v>14</v>
      </c>
      <c r="N252" t="s">
        <v>53</v>
      </c>
    </row>
    <row r="253" spans="1:14">
      <c r="A253" s="98" t="s">
        <v>62</v>
      </c>
      <c r="B253" s="98" t="s">
        <v>62</v>
      </c>
      <c r="C253" s="98" t="s">
        <v>62</v>
      </c>
      <c r="D253" s="98" t="s">
        <v>62</v>
      </c>
      <c r="E253" s="98" t="s">
        <v>62</v>
      </c>
      <c r="F253" s="98" t="s">
        <v>62</v>
      </c>
      <c r="G253" s="98"/>
      <c r="H253" s="98"/>
      <c r="I253" s="98"/>
      <c r="J253" s="98" t="s">
        <v>62</v>
      </c>
    </row>
    <row r="254" spans="1:14">
      <c r="A254" s="73">
        <v>46266</v>
      </c>
      <c r="B254" s="4" t="s">
        <v>13</v>
      </c>
      <c r="C254" s="4" t="s">
        <v>20</v>
      </c>
      <c r="D254" s="4" t="s">
        <v>17</v>
      </c>
      <c r="E254" s="76"/>
      <c r="F254" s="4"/>
      <c r="G254" s="4"/>
      <c r="H254" s="4"/>
      <c r="I254" s="4"/>
      <c r="J254" s="4"/>
    </row>
    <row r="255" spans="1:14">
      <c r="A255" s="73">
        <v>46267</v>
      </c>
      <c r="B255" s="4" t="s">
        <v>13</v>
      </c>
      <c r="C255" s="4" t="s">
        <v>20</v>
      </c>
      <c r="D255" s="4" t="s">
        <v>17</v>
      </c>
      <c r="E255" s="76"/>
      <c r="F255" s="4"/>
      <c r="G255" s="4"/>
      <c r="H255" s="4"/>
      <c r="I255" s="4"/>
      <c r="J255" s="4"/>
    </row>
    <row r="256" spans="1:14">
      <c r="A256" s="73">
        <v>46268</v>
      </c>
      <c r="B256" s="4" t="s">
        <v>13</v>
      </c>
      <c r="C256" s="4" t="s">
        <v>20</v>
      </c>
      <c r="D256" s="4" t="s">
        <v>17</v>
      </c>
      <c r="E256" s="76"/>
      <c r="F256" s="4"/>
      <c r="G256" s="4"/>
      <c r="H256" s="4"/>
      <c r="I256" s="4"/>
      <c r="J256" s="4"/>
    </row>
    <row r="257" spans="1:15">
      <c r="A257" s="73">
        <v>46269</v>
      </c>
      <c r="B257" s="4" t="s">
        <v>13</v>
      </c>
      <c r="C257" s="4" t="s">
        <v>20</v>
      </c>
      <c r="D257" s="4" t="s">
        <v>17</v>
      </c>
      <c r="E257" s="76"/>
      <c r="F257" s="4"/>
      <c r="G257" s="4"/>
      <c r="H257" s="4"/>
      <c r="I257" s="4"/>
      <c r="J257" s="4"/>
    </row>
    <row r="258" spans="1:15">
      <c r="A258" s="83">
        <v>46270</v>
      </c>
      <c r="B258" s="84" t="s">
        <v>60</v>
      </c>
      <c r="C258" s="84"/>
      <c r="D258" s="84" t="s">
        <v>18</v>
      </c>
      <c r="E258" s="84"/>
      <c r="F258" s="84"/>
      <c r="G258" s="84"/>
      <c r="H258" s="84"/>
      <c r="I258" s="84"/>
      <c r="J258" s="84"/>
    </row>
    <row r="259" spans="1:15">
      <c r="A259" s="83">
        <v>46271</v>
      </c>
      <c r="B259" s="84" t="s">
        <v>60</v>
      </c>
      <c r="C259" s="84"/>
      <c r="D259" s="84" t="s">
        <v>18</v>
      </c>
      <c r="E259" s="84"/>
      <c r="F259" s="84"/>
      <c r="G259" s="84"/>
      <c r="H259" s="84"/>
      <c r="I259" s="84"/>
      <c r="J259" s="84"/>
    </row>
    <row r="260" spans="1:15">
      <c r="A260" s="77">
        <v>46272</v>
      </c>
      <c r="B260" s="78" t="s">
        <v>60</v>
      </c>
      <c r="C260" s="78"/>
      <c r="D260" s="78" t="s">
        <v>18</v>
      </c>
      <c r="E260" s="78" t="s">
        <v>22</v>
      </c>
      <c r="F260" s="78"/>
      <c r="G260" s="78"/>
      <c r="H260" s="78"/>
      <c r="I260" s="78"/>
      <c r="J260" s="78"/>
    </row>
    <row r="261" spans="1:15">
      <c r="A261" s="73">
        <v>46273</v>
      </c>
      <c r="B261" s="4" t="s">
        <v>61</v>
      </c>
      <c r="C261" s="4" t="s">
        <v>60</v>
      </c>
      <c r="D261" s="4" t="s">
        <v>18</v>
      </c>
      <c r="E261" s="76" t="s">
        <v>22</v>
      </c>
      <c r="F261" s="4"/>
      <c r="G261" s="4"/>
      <c r="H261" s="4"/>
      <c r="I261" s="4"/>
      <c r="J261" s="4"/>
      <c r="K261" t="s">
        <v>63</v>
      </c>
    </row>
    <row r="262" spans="1:15">
      <c r="A262" s="73">
        <v>46274</v>
      </c>
      <c r="B262" s="4" t="s">
        <v>61</v>
      </c>
      <c r="C262" s="4" t="s">
        <v>60</v>
      </c>
      <c r="D262" s="4" t="s">
        <v>18</v>
      </c>
      <c r="E262" s="76" t="s">
        <v>22</v>
      </c>
      <c r="F262" s="4"/>
      <c r="G262" s="4"/>
      <c r="H262" s="4"/>
      <c r="I262" s="4"/>
      <c r="J262" s="4"/>
      <c r="K262" t="s">
        <v>63</v>
      </c>
    </row>
    <row r="263" spans="1:15">
      <c r="A263" s="73">
        <v>46275</v>
      </c>
      <c r="B263" s="4" t="s">
        <v>61</v>
      </c>
      <c r="C263" s="4" t="s">
        <v>60</v>
      </c>
      <c r="D263" s="4" t="s">
        <v>18</v>
      </c>
      <c r="E263" s="76" t="s">
        <v>20</v>
      </c>
      <c r="F263" s="4"/>
      <c r="G263" s="4"/>
      <c r="H263" s="4"/>
      <c r="I263" s="4"/>
      <c r="J263" s="4"/>
      <c r="K263" t="s">
        <v>63</v>
      </c>
      <c r="O263" t="s">
        <v>64</v>
      </c>
    </row>
    <row r="264" spans="1:15">
      <c r="A264" s="73">
        <v>46276</v>
      </c>
      <c r="B264" s="4" t="s">
        <v>61</v>
      </c>
      <c r="C264" s="4" t="s">
        <v>60</v>
      </c>
      <c r="D264" s="4" t="s">
        <v>18</v>
      </c>
      <c r="E264" s="76" t="s">
        <v>20</v>
      </c>
      <c r="F264" s="4"/>
      <c r="G264" s="4"/>
      <c r="H264" s="4"/>
      <c r="I264" s="4"/>
      <c r="J264" s="4"/>
      <c r="K264" t="s">
        <v>63</v>
      </c>
      <c r="O264" t="s">
        <v>64</v>
      </c>
    </row>
    <row r="265" spans="1:15">
      <c r="A265" s="83">
        <v>46277</v>
      </c>
      <c r="B265" s="84" t="s">
        <v>27</v>
      </c>
      <c r="C265" s="84"/>
      <c r="D265" s="84" t="s">
        <v>17</v>
      </c>
      <c r="E265" s="84" t="s">
        <v>20</v>
      </c>
      <c r="F265" s="84"/>
      <c r="G265" s="84"/>
      <c r="H265" s="84"/>
      <c r="I265" s="84"/>
      <c r="J265" s="84"/>
      <c r="K265" t="s">
        <v>63</v>
      </c>
    </row>
    <row r="266" spans="1:15">
      <c r="A266" s="83">
        <v>46278</v>
      </c>
      <c r="B266" s="84" t="s">
        <v>27</v>
      </c>
      <c r="C266" s="84"/>
      <c r="D266" s="84" t="s">
        <v>17</v>
      </c>
      <c r="E266" s="84" t="s">
        <v>20</v>
      </c>
      <c r="F266" s="84"/>
      <c r="G266" s="84"/>
      <c r="H266" s="84"/>
      <c r="I266" s="84"/>
      <c r="J266" s="84"/>
      <c r="K266" t="s">
        <v>63</v>
      </c>
    </row>
    <row r="267" spans="1:15">
      <c r="A267" s="73">
        <v>46279</v>
      </c>
      <c r="B267" s="4" t="s">
        <v>13</v>
      </c>
      <c r="C267" s="4" t="s">
        <v>19</v>
      </c>
      <c r="D267" s="4" t="s">
        <v>17</v>
      </c>
      <c r="E267" s="76" t="s">
        <v>14</v>
      </c>
      <c r="F267" s="4"/>
      <c r="G267" s="4"/>
      <c r="H267" s="4"/>
      <c r="I267" s="4"/>
      <c r="J267" s="4"/>
      <c r="K267" t="s">
        <v>63</v>
      </c>
    </row>
    <row r="268" spans="1:15">
      <c r="A268" s="73">
        <v>46280</v>
      </c>
      <c r="B268" s="4" t="s">
        <v>13</v>
      </c>
      <c r="C268" s="4" t="s">
        <v>19</v>
      </c>
      <c r="D268" s="4" t="s">
        <v>17</v>
      </c>
      <c r="E268" s="76" t="s">
        <v>14</v>
      </c>
      <c r="F268" s="4"/>
      <c r="G268" s="4"/>
      <c r="H268" s="4"/>
      <c r="I268" s="4"/>
      <c r="J268" s="4"/>
    </row>
    <row r="269" spans="1:15">
      <c r="A269" s="73">
        <v>46281</v>
      </c>
      <c r="B269" s="4" t="s">
        <v>13</v>
      </c>
      <c r="C269" s="4" t="s">
        <v>19</v>
      </c>
      <c r="D269" s="4" t="s">
        <v>17</v>
      </c>
      <c r="E269" s="76" t="s">
        <v>14</v>
      </c>
      <c r="F269" s="4"/>
      <c r="G269" s="4"/>
      <c r="H269" s="4"/>
      <c r="I269" s="4"/>
      <c r="J269" s="4"/>
    </row>
    <row r="270" spans="1:15">
      <c r="A270" s="73">
        <v>46282</v>
      </c>
      <c r="B270" s="4" t="s">
        <v>13</v>
      </c>
      <c r="C270" s="4" t="s">
        <v>19</v>
      </c>
      <c r="D270" s="4" t="s">
        <v>17</v>
      </c>
      <c r="E270" s="76" t="s">
        <v>26</v>
      </c>
      <c r="F270" s="4"/>
      <c r="G270" s="4"/>
      <c r="H270" s="4"/>
      <c r="I270" s="4"/>
      <c r="J270" s="4"/>
    </row>
    <row r="271" spans="1:15">
      <c r="A271" s="73">
        <v>46283</v>
      </c>
      <c r="B271" s="4" t="s">
        <v>13</v>
      </c>
      <c r="C271" s="4" t="s">
        <v>19</v>
      </c>
      <c r="D271" s="4" t="s">
        <v>17</v>
      </c>
      <c r="E271" s="76" t="s">
        <v>26</v>
      </c>
      <c r="F271" s="4"/>
      <c r="G271" s="4"/>
      <c r="H271" s="4"/>
      <c r="I271" s="4"/>
      <c r="J271" s="4"/>
    </row>
    <row r="272" spans="1:15">
      <c r="A272" s="83">
        <v>46284</v>
      </c>
      <c r="B272" s="84" t="s">
        <v>13</v>
      </c>
      <c r="C272" s="84"/>
      <c r="D272" s="84" t="s">
        <v>60</v>
      </c>
      <c r="E272" s="84" t="s">
        <v>26</v>
      </c>
      <c r="F272" s="84"/>
      <c r="G272" s="84"/>
      <c r="H272" s="84"/>
      <c r="I272" s="84"/>
      <c r="J272" s="84"/>
    </row>
    <row r="273" spans="1:13">
      <c r="A273" s="83">
        <v>46285</v>
      </c>
      <c r="B273" s="84" t="s">
        <v>13</v>
      </c>
      <c r="C273" s="84"/>
      <c r="D273" s="84" t="s">
        <v>60</v>
      </c>
      <c r="E273" s="84" t="s">
        <v>26</v>
      </c>
      <c r="F273" s="84"/>
      <c r="G273" s="84"/>
      <c r="H273" s="84"/>
      <c r="I273" s="84"/>
      <c r="J273" s="84"/>
    </row>
    <row r="274" spans="1:13">
      <c r="A274" s="73">
        <v>46286</v>
      </c>
      <c r="B274" s="4" t="s">
        <v>65</v>
      </c>
      <c r="C274" s="4" t="s">
        <v>19</v>
      </c>
      <c r="D274" s="4" t="s">
        <v>61</v>
      </c>
      <c r="E274" s="76" t="s">
        <v>20</v>
      </c>
      <c r="F274" s="4"/>
      <c r="G274" s="4"/>
      <c r="H274" s="4"/>
      <c r="I274" s="4"/>
      <c r="J274" s="4"/>
      <c r="K274" t="s">
        <v>22</v>
      </c>
      <c r="M274" t="s">
        <v>13</v>
      </c>
    </row>
    <row r="275" spans="1:13">
      <c r="A275" s="73">
        <v>46287</v>
      </c>
      <c r="B275" s="4" t="s">
        <v>65</v>
      </c>
      <c r="C275" s="4" t="s">
        <v>19</v>
      </c>
      <c r="D275" s="4" t="s">
        <v>61</v>
      </c>
      <c r="E275" s="76" t="s">
        <v>20</v>
      </c>
      <c r="F275" s="4"/>
      <c r="G275" s="4"/>
      <c r="H275" s="4"/>
      <c r="I275" s="4"/>
      <c r="J275" s="4"/>
      <c r="K275" t="s">
        <v>22</v>
      </c>
      <c r="M275" t="s">
        <v>13</v>
      </c>
    </row>
    <row r="276" spans="1:13">
      <c r="A276" s="73">
        <v>46288</v>
      </c>
      <c r="B276" s="4" t="s">
        <v>65</v>
      </c>
      <c r="C276" s="4" t="s">
        <v>19</v>
      </c>
      <c r="D276" s="4" t="s">
        <v>61</v>
      </c>
      <c r="E276" s="76" t="s">
        <v>20</v>
      </c>
      <c r="F276" s="4"/>
      <c r="G276" s="4"/>
      <c r="H276" s="4"/>
      <c r="I276" s="4"/>
      <c r="J276" s="4"/>
      <c r="K276" t="s">
        <v>22</v>
      </c>
      <c r="M276" t="s">
        <v>13</v>
      </c>
    </row>
    <row r="277" spans="1:13">
      <c r="A277" s="73">
        <v>46289</v>
      </c>
      <c r="B277" s="4" t="s">
        <v>65</v>
      </c>
      <c r="C277" s="4" t="s">
        <v>19</v>
      </c>
      <c r="D277" s="4" t="s">
        <v>61</v>
      </c>
      <c r="E277" s="76" t="s">
        <v>14</v>
      </c>
      <c r="F277" s="4"/>
      <c r="G277" s="4"/>
      <c r="H277" s="4"/>
      <c r="I277" s="4"/>
      <c r="J277" s="4"/>
      <c r="K277" t="s">
        <v>22</v>
      </c>
      <c r="M277" t="s">
        <v>13</v>
      </c>
    </row>
    <row r="278" spans="1:13">
      <c r="A278" s="73">
        <v>46290</v>
      </c>
      <c r="B278" s="4" t="s">
        <v>65</v>
      </c>
      <c r="C278" s="4" t="s">
        <v>19</v>
      </c>
      <c r="D278" s="4" t="s">
        <v>61</v>
      </c>
      <c r="E278" s="76" t="s">
        <v>14</v>
      </c>
      <c r="F278" s="4"/>
      <c r="G278" s="4"/>
      <c r="H278" s="4"/>
      <c r="I278" s="4"/>
      <c r="J278" s="4"/>
      <c r="K278" t="s">
        <v>22</v>
      </c>
      <c r="M278" t="s">
        <v>13</v>
      </c>
    </row>
    <row r="279" spans="1:13">
      <c r="A279" s="83">
        <v>46291</v>
      </c>
      <c r="B279" s="84" t="s">
        <v>16</v>
      </c>
      <c r="C279" s="84"/>
      <c r="D279" s="84" t="s">
        <v>61</v>
      </c>
      <c r="E279" s="84" t="s">
        <v>14</v>
      </c>
      <c r="F279" s="84"/>
      <c r="G279" s="84"/>
      <c r="H279" s="84"/>
      <c r="I279" s="84"/>
      <c r="J279" s="84"/>
      <c r="K279" t="s">
        <v>22</v>
      </c>
      <c r="M279" t="s">
        <v>13</v>
      </c>
    </row>
    <row r="280" spans="1:13">
      <c r="A280" s="83">
        <v>46292</v>
      </c>
      <c r="B280" s="84" t="s">
        <v>16</v>
      </c>
      <c r="C280" s="84"/>
      <c r="D280" s="84" t="s">
        <v>61</v>
      </c>
      <c r="E280" s="84" t="s">
        <v>14</v>
      </c>
      <c r="F280" s="84"/>
      <c r="G280" s="84"/>
      <c r="H280" s="84"/>
      <c r="I280" s="84"/>
      <c r="J280" s="84"/>
      <c r="K280" t="s">
        <v>22</v>
      </c>
      <c r="M280" t="s">
        <v>13</v>
      </c>
    </row>
    <row r="281" spans="1:13">
      <c r="A281" s="73">
        <v>46293</v>
      </c>
      <c r="B281" s="4" t="s">
        <v>18</v>
      </c>
      <c r="C281" s="4" t="s">
        <v>60</v>
      </c>
      <c r="D281" s="4" t="s">
        <v>27</v>
      </c>
      <c r="E281" s="76" t="s">
        <v>26</v>
      </c>
      <c r="F281" s="4"/>
      <c r="G281" s="4"/>
      <c r="H281" s="4"/>
      <c r="I281" s="4"/>
      <c r="J281" s="4"/>
      <c r="M281" t="s">
        <v>13</v>
      </c>
    </row>
    <row r="282" spans="1:13">
      <c r="A282" s="73">
        <v>46294</v>
      </c>
      <c r="B282" s="4" t="s">
        <v>18</v>
      </c>
      <c r="C282" s="4" t="s">
        <v>60</v>
      </c>
      <c r="D282" s="4" t="s">
        <v>27</v>
      </c>
      <c r="E282" s="76" t="s">
        <v>26</v>
      </c>
      <c r="F282" s="4"/>
      <c r="G282" s="4"/>
      <c r="H282" s="4"/>
      <c r="I282" s="4"/>
      <c r="J282" s="4"/>
      <c r="K282" t="s">
        <v>63</v>
      </c>
      <c r="M282" t="s">
        <v>13</v>
      </c>
    </row>
    <row r="283" spans="1:13">
      <c r="A283" s="73">
        <v>46295</v>
      </c>
      <c r="B283" s="4" t="s">
        <v>18</v>
      </c>
      <c r="C283" s="4" t="s">
        <v>60</v>
      </c>
      <c r="D283" s="4" t="s">
        <v>27</v>
      </c>
      <c r="E283" s="76" t="s">
        <v>26</v>
      </c>
      <c r="F283" s="4"/>
      <c r="G283" s="4"/>
      <c r="H283" s="4"/>
      <c r="I283" s="4"/>
      <c r="J283" s="4"/>
      <c r="K283" t="s">
        <v>63</v>
      </c>
      <c r="M283" t="s">
        <v>13</v>
      </c>
    </row>
    <row r="284" spans="1:13">
      <c r="A284" s="98" t="s">
        <v>66</v>
      </c>
      <c r="B284" s="98" t="s">
        <v>66</v>
      </c>
      <c r="C284" s="98" t="s">
        <v>66</v>
      </c>
      <c r="D284" s="98" t="s">
        <v>66</v>
      </c>
      <c r="E284" s="98" t="s">
        <v>66</v>
      </c>
      <c r="F284" s="98" t="s">
        <v>66</v>
      </c>
      <c r="G284" s="98"/>
      <c r="H284" s="98"/>
      <c r="I284" s="98"/>
      <c r="J284" s="98" t="s">
        <v>66</v>
      </c>
      <c r="K284" t="s">
        <v>63</v>
      </c>
      <c r="M284" t="s">
        <v>13</v>
      </c>
    </row>
    <row r="285" spans="1:13">
      <c r="A285" s="73">
        <v>46296</v>
      </c>
      <c r="B285" s="4" t="s">
        <v>18</v>
      </c>
      <c r="C285" s="4" t="s">
        <v>60</v>
      </c>
      <c r="D285" s="4" t="s">
        <v>27</v>
      </c>
      <c r="E285" s="76" t="s">
        <v>59</v>
      </c>
      <c r="F285" s="4"/>
      <c r="G285" s="4"/>
      <c r="H285" s="4"/>
      <c r="I285" s="4"/>
      <c r="J285" s="4"/>
      <c r="K285" t="s">
        <v>63</v>
      </c>
      <c r="M285" t="s">
        <v>13</v>
      </c>
    </row>
    <row r="286" spans="1:13">
      <c r="A286" s="73">
        <v>46297</v>
      </c>
      <c r="B286" s="4" t="s">
        <v>18</v>
      </c>
      <c r="C286" s="4" t="s">
        <v>60</v>
      </c>
      <c r="D286" s="4" t="s">
        <v>27</v>
      </c>
      <c r="E286" s="76" t="s">
        <v>59</v>
      </c>
      <c r="F286" s="4"/>
      <c r="G286" s="4"/>
      <c r="H286" s="4"/>
      <c r="I286" s="4"/>
      <c r="J286" s="4"/>
      <c r="K286" t="s">
        <v>63</v>
      </c>
      <c r="M286" t="s">
        <v>13</v>
      </c>
    </row>
    <row r="287" spans="1:13">
      <c r="A287" s="83">
        <v>46298</v>
      </c>
      <c r="B287" s="84" t="s">
        <v>17</v>
      </c>
      <c r="C287" s="84"/>
      <c r="D287" s="84" t="s">
        <v>27</v>
      </c>
      <c r="E287" s="84" t="s">
        <v>59</v>
      </c>
      <c r="F287" s="84"/>
      <c r="G287" s="84"/>
      <c r="H287" s="84"/>
      <c r="I287" s="84"/>
      <c r="J287" s="84"/>
      <c r="K287" t="s">
        <v>63</v>
      </c>
      <c r="M287" t="s">
        <v>13</v>
      </c>
    </row>
    <row r="288" spans="1:13">
      <c r="A288" s="83">
        <v>46299</v>
      </c>
      <c r="B288" s="84" t="s">
        <v>17</v>
      </c>
      <c r="C288" s="84"/>
      <c r="D288" s="84" t="s">
        <v>27</v>
      </c>
      <c r="E288" s="84" t="s">
        <v>59</v>
      </c>
      <c r="F288" s="84"/>
      <c r="G288" s="84"/>
      <c r="H288" s="84"/>
      <c r="I288" s="84"/>
      <c r="J288" s="84"/>
      <c r="K288" t="s">
        <v>63</v>
      </c>
      <c r="M288" t="s">
        <v>13</v>
      </c>
    </row>
    <row r="289" spans="1:12">
      <c r="A289" s="73">
        <v>46300</v>
      </c>
      <c r="B289" s="4" t="s">
        <v>61</v>
      </c>
      <c r="C289" s="4" t="s">
        <v>17</v>
      </c>
      <c r="D289" s="4" t="s">
        <v>13</v>
      </c>
      <c r="E289" s="76" t="s">
        <v>14</v>
      </c>
      <c r="F289" s="4"/>
      <c r="G289" s="4"/>
      <c r="H289" s="4"/>
      <c r="I289" s="4"/>
      <c r="J289" s="4"/>
      <c r="K289" t="s">
        <v>63</v>
      </c>
    </row>
    <row r="290" spans="1:12">
      <c r="A290" s="73">
        <v>46301</v>
      </c>
      <c r="B290" s="4" t="s">
        <v>61</v>
      </c>
      <c r="C290" s="4" t="s">
        <v>17</v>
      </c>
      <c r="D290" s="4" t="s">
        <v>13</v>
      </c>
      <c r="E290" s="76" t="s">
        <v>14</v>
      </c>
      <c r="F290" s="4"/>
      <c r="G290" s="4"/>
      <c r="H290" s="4"/>
      <c r="I290" s="4"/>
      <c r="J290" s="4"/>
    </row>
    <row r="291" spans="1:12">
      <c r="A291" s="73">
        <v>46302</v>
      </c>
      <c r="B291" s="4" t="s">
        <v>61</v>
      </c>
      <c r="C291" s="4" t="s">
        <v>17</v>
      </c>
      <c r="D291" s="4" t="s">
        <v>13</v>
      </c>
      <c r="E291" s="76" t="s">
        <v>14</v>
      </c>
      <c r="F291" s="4"/>
      <c r="G291" s="4"/>
      <c r="H291" s="4"/>
      <c r="I291" s="4"/>
      <c r="J291" s="4"/>
    </row>
    <row r="292" spans="1:12">
      <c r="A292" s="73">
        <v>46303</v>
      </c>
      <c r="B292" s="4" t="s">
        <v>61</v>
      </c>
      <c r="C292" s="4" t="s">
        <v>17</v>
      </c>
      <c r="D292" s="4" t="s">
        <v>13</v>
      </c>
      <c r="E292" s="76" t="s">
        <v>26</v>
      </c>
      <c r="F292" s="4"/>
      <c r="G292" s="4"/>
      <c r="H292" s="4"/>
      <c r="I292" s="4"/>
      <c r="J292" s="4"/>
    </row>
    <row r="293" spans="1:12">
      <c r="A293" s="73">
        <v>46304</v>
      </c>
      <c r="B293" s="4" t="s">
        <v>61</v>
      </c>
      <c r="C293" s="4" t="s">
        <v>17</v>
      </c>
      <c r="D293" s="4" t="s">
        <v>13</v>
      </c>
      <c r="E293" s="76" t="s">
        <v>26</v>
      </c>
      <c r="F293" s="4"/>
      <c r="G293" s="4"/>
      <c r="H293" s="4"/>
      <c r="I293" s="4"/>
      <c r="J293" s="4"/>
    </row>
    <row r="294" spans="1:12">
      <c r="A294" s="83">
        <v>46305</v>
      </c>
      <c r="B294" s="84" t="s">
        <v>19</v>
      </c>
      <c r="C294" s="84"/>
      <c r="D294" s="84"/>
      <c r="E294" s="84" t="s">
        <v>26</v>
      </c>
      <c r="F294" s="84"/>
      <c r="G294" s="84"/>
      <c r="H294" s="84"/>
      <c r="I294" s="84"/>
      <c r="J294" s="84"/>
    </row>
    <row r="295" spans="1:12">
      <c r="A295" s="83">
        <v>46306</v>
      </c>
      <c r="B295" s="84" t="s">
        <v>19</v>
      </c>
      <c r="C295" s="84"/>
      <c r="D295" s="84"/>
      <c r="E295" s="84" t="s">
        <v>26</v>
      </c>
      <c r="F295" s="84"/>
      <c r="G295" s="84"/>
      <c r="H295" s="84"/>
      <c r="I295" s="84"/>
      <c r="J295" s="84"/>
    </row>
    <row r="296" spans="1:12">
      <c r="A296" s="73">
        <v>46307</v>
      </c>
      <c r="B296" s="4" t="s">
        <v>19</v>
      </c>
      <c r="C296" s="4" t="s">
        <v>60</v>
      </c>
      <c r="D296" s="4" t="s">
        <v>61</v>
      </c>
      <c r="E296" s="76" t="s">
        <v>59</v>
      </c>
      <c r="F296" s="4"/>
      <c r="G296" s="4"/>
      <c r="H296" s="4"/>
      <c r="I296" s="4"/>
      <c r="J296" s="4"/>
    </row>
    <row r="297" spans="1:12">
      <c r="A297" s="73">
        <v>46308</v>
      </c>
      <c r="B297" s="4" t="s">
        <v>19</v>
      </c>
      <c r="C297" s="4" t="s">
        <v>60</v>
      </c>
      <c r="D297" s="4" t="s">
        <v>61</v>
      </c>
      <c r="E297" s="76" t="s">
        <v>59</v>
      </c>
      <c r="F297" s="4"/>
      <c r="G297" s="4"/>
      <c r="H297" s="4"/>
      <c r="I297" s="4"/>
      <c r="J297" s="4"/>
    </row>
    <row r="298" spans="1:12">
      <c r="A298" s="73">
        <v>46309</v>
      </c>
      <c r="B298" s="4" t="s">
        <v>19</v>
      </c>
      <c r="C298" s="4" t="s">
        <v>60</v>
      </c>
      <c r="D298" s="4" t="s">
        <v>61</v>
      </c>
      <c r="E298" s="76" t="s">
        <v>59</v>
      </c>
      <c r="F298" s="4"/>
      <c r="G298" s="4"/>
      <c r="H298" s="4"/>
      <c r="I298" s="4"/>
      <c r="J298" s="4"/>
    </row>
    <row r="299" spans="1:12">
      <c r="A299" s="73">
        <v>46310</v>
      </c>
      <c r="B299" s="4" t="s">
        <v>19</v>
      </c>
      <c r="C299" s="4" t="s">
        <v>60</v>
      </c>
      <c r="D299" s="4" t="s">
        <v>61</v>
      </c>
      <c r="E299" s="76" t="s">
        <v>14</v>
      </c>
      <c r="F299" s="4"/>
      <c r="G299" s="4"/>
      <c r="H299" s="4"/>
      <c r="I299" s="4"/>
      <c r="J299" s="4"/>
    </row>
    <row r="300" spans="1:12">
      <c r="A300" s="73">
        <v>46311</v>
      </c>
      <c r="B300" s="4" t="s">
        <v>19</v>
      </c>
      <c r="C300" s="4" t="s">
        <v>60</v>
      </c>
      <c r="D300" s="4" t="s">
        <v>61</v>
      </c>
      <c r="E300" s="76" t="s">
        <v>14</v>
      </c>
      <c r="F300" s="4"/>
      <c r="G300" s="4"/>
      <c r="H300" s="4"/>
      <c r="I300" s="4"/>
      <c r="J300" s="4"/>
      <c r="L300" t="s">
        <v>57</v>
      </c>
    </row>
    <row r="301" spans="1:12">
      <c r="A301" s="83">
        <v>46312</v>
      </c>
      <c r="B301" s="84" t="s">
        <v>18</v>
      </c>
      <c r="C301" s="84"/>
      <c r="D301" s="84" t="s">
        <v>61</v>
      </c>
      <c r="E301" s="84" t="s">
        <v>14</v>
      </c>
      <c r="F301" s="84"/>
      <c r="G301" s="84"/>
      <c r="H301" s="84"/>
      <c r="I301" s="84"/>
      <c r="J301" s="84"/>
    </row>
    <row r="302" spans="1:12">
      <c r="A302" s="83">
        <v>46313</v>
      </c>
      <c r="B302" s="84" t="s">
        <v>18</v>
      </c>
      <c r="C302" s="84"/>
      <c r="D302" s="84" t="s">
        <v>61</v>
      </c>
      <c r="E302" s="84" t="s">
        <v>14</v>
      </c>
      <c r="F302" s="84"/>
      <c r="G302" s="84"/>
      <c r="H302" s="84"/>
      <c r="I302" s="84"/>
      <c r="J302" s="84"/>
    </row>
    <row r="303" spans="1:12">
      <c r="A303" s="73">
        <v>46314</v>
      </c>
      <c r="B303" s="4" t="s">
        <v>67</v>
      </c>
      <c r="C303" s="4" t="s">
        <v>59</v>
      </c>
      <c r="D303" s="4" t="s">
        <v>18</v>
      </c>
      <c r="E303" s="76" t="s">
        <v>26</v>
      </c>
      <c r="F303" s="4"/>
      <c r="G303" s="4"/>
      <c r="H303" s="4"/>
      <c r="I303" s="4"/>
      <c r="J303" s="4"/>
      <c r="K303" t="s">
        <v>26</v>
      </c>
    </row>
    <row r="304" spans="1:12">
      <c r="A304" s="73">
        <v>46315</v>
      </c>
      <c r="B304" s="4" t="s">
        <v>67</v>
      </c>
      <c r="C304" s="4" t="s">
        <v>59</v>
      </c>
      <c r="D304" s="4" t="s">
        <v>18</v>
      </c>
      <c r="E304" s="76" t="s">
        <v>26</v>
      </c>
      <c r="F304" s="4"/>
      <c r="G304" s="4"/>
      <c r="H304" s="4"/>
      <c r="I304" s="4"/>
      <c r="J304" s="4"/>
      <c r="K304" t="s">
        <v>26</v>
      </c>
      <c r="L304" t="s">
        <v>68</v>
      </c>
    </row>
    <row r="305" spans="1:12">
      <c r="A305" s="73">
        <v>46316</v>
      </c>
      <c r="B305" s="4" t="s">
        <v>67</v>
      </c>
      <c r="C305" s="4" t="s">
        <v>59</v>
      </c>
      <c r="D305" s="4" t="s">
        <v>18</v>
      </c>
      <c r="E305" s="76" t="s">
        <v>26</v>
      </c>
      <c r="F305" s="4"/>
      <c r="G305" s="4"/>
      <c r="H305" s="4"/>
      <c r="I305" s="4"/>
      <c r="J305" s="4"/>
      <c r="K305" t="s">
        <v>26</v>
      </c>
      <c r="L305" t="s">
        <v>68</v>
      </c>
    </row>
    <row r="306" spans="1:12">
      <c r="A306" s="73">
        <v>46317</v>
      </c>
      <c r="B306" s="4" t="s">
        <v>67</v>
      </c>
      <c r="C306" s="4" t="s">
        <v>59</v>
      </c>
      <c r="D306" s="4" t="s">
        <v>18</v>
      </c>
      <c r="E306" s="76" t="s">
        <v>60</v>
      </c>
      <c r="F306" s="4"/>
      <c r="G306" s="4"/>
      <c r="H306" s="4"/>
      <c r="I306" s="4"/>
      <c r="J306" s="4"/>
      <c r="K306" t="s">
        <v>26</v>
      </c>
      <c r="L306" t="s">
        <v>68</v>
      </c>
    </row>
    <row r="307" spans="1:12">
      <c r="A307" s="73">
        <v>46318</v>
      </c>
      <c r="B307" s="4" t="s">
        <v>67</v>
      </c>
      <c r="C307" s="4" t="s">
        <v>59</v>
      </c>
      <c r="D307" s="4" t="s">
        <v>18</v>
      </c>
      <c r="E307" s="76" t="s">
        <v>60</v>
      </c>
      <c r="F307" s="4"/>
      <c r="G307" s="4"/>
      <c r="H307" s="4"/>
      <c r="I307" s="4"/>
      <c r="J307" s="4"/>
      <c r="K307" t="s">
        <v>26</v>
      </c>
      <c r="L307" t="s">
        <v>68</v>
      </c>
    </row>
    <row r="308" spans="1:12">
      <c r="A308" s="83">
        <v>46319</v>
      </c>
      <c r="B308" s="84" t="s">
        <v>16</v>
      </c>
      <c r="C308" s="84"/>
      <c r="D308" s="84" t="s">
        <v>27</v>
      </c>
      <c r="E308" s="84" t="s">
        <v>60</v>
      </c>
      <c r="F308" s="84"/>
      <c r="G308" s="84"/>
      <c r="H308" s="84"/>
      <c r="I308" s="84"/>
      <c r="J308" s="84"/>
      <c r="K308" t="s">
        <v>26</v>
      </c>
    </row>
    <row r="309" spans="1:12">
      <c r="A309" s="83">
        <v>46320</v>
      </c>
      <c r="B309" s="84" t="s">
        <v>16</v>
      </c>
      <c r="C309" s="84"/>
      <c r="D309" s="84" t="s">
        <v>27</v>
      </c>
      <c r="E309" s="84" t="s">
        <v>60</v>
      </c>
      <c r="F309" s="84"/>
      <c r="G309" s="84"/>
      <c r="H309" s="84"/>
      <c r="I309" s="84"/>
      <c r="J309" s="84"/>
      <c r="K309" t="s">
        <v>26</v>
      </c>
    </row>
    <row r="310" spans="1:12">
      <c r="A310" s="73">
        <v>46321</v>
      </c>
      <c r="B310" s="4" t="s">
        <v>17</v>
      </c>
      <c r="C310" s="4" t="s">
        <v>67</v>
      </c>
      <c r="D310" s="4"/>
      <c r="E310" s="76" t="s">
        <v>61</v>
      </c>
      <c r="F310" s="4"/>
      <c r="G310" s="4"/>
      <c r="H310" s="4"/>
      <c r="I310" s="4"/>
      <c r="J310" s="4"/>
      <c r="K310" t="s">
        <v>20</v>
      </c>
    </row>
    <row r="311" spans="1:12">
      <c r="A311" s="73">
        <v>46322</v>
      </c>
      <c r="B311" s="4" t="s">
        <v>17</v>
      </c>
      <c r="C311" s="4" t="s">
        <v>67</v>
      </c>
      <c r="D311" s="4"/>
      <c r="E311" s="76" t="s">
        <v>61</v>
      </c>
      <c r="F311" s="4"/>
      <c r="G311" s="4"/>
      <c r="H311" s="4"/>
      <c r="I311" s="4"/>
      <c r="J311" s="4"/>
      <c r="K311" t="s">
        <v>20</v>
      </c>
      <c r="L311" t="s">
        <v>63</v>
      </c>
    </row>
    <row r="312" spans="1:12">
      <c r="A312" s="73">
        <v>46323</v>
      </c>
      <c r="B312" s="4" t="s">
        <v>17</v>
      </c>
      <c r="C312" s="4" t="s">
        <v>67</v>
      </c>
      <c r="D312" s="4"/>
      <c r="E312" s="76" t="s">
        <v>61</v>
      </c>
      <c r="F312" s="4"/>
      <c r="G312" s="4"/>
      <c r="H312" s="4"/>
      <c r="I312" s="4"/>
      <c r="J312" s="4"/>
      <c r="K312" t="s">
        <v>20</v>
      </c>
      <c r="L312" t="s">
        <v>63</v>
      </c>
    </row>
    <row r="313" spans="1:12">
      <c r="A313" s="73">
        <v>46324</v>
      </c>
      <c r="B313" s="4" t="s">
        <v>17</v>
      </c>
      <c r="C313" s="4" t="s">
        <v>67</v>
      </c>
      <c r="D313" s="4"/>
      <c r="E313" s="76"/>
      <c r="F313" s="4"/>
      <c r="G313" s="4"/>
      <c r="H313" s="4"/>
      <c r="I313" s="4"/>
      <c r="J313" s="4"/>
      <c r="K313" t="s">
        <v>20</v>
      </c>
      <c r="L313" t="s">
        <v>63</v>
      </c>
    </row>
    <row r="314" spans="1:12">
      <c r="A314" s="73">
        <v>46325</v>
      </c>
      <c r="B314" s="4" t="s">
        <v>17</v>
      </c>
      <c r="C314" s="4" t="s">
        <v>67</v>
      </c>
      <c r="D314" s="4"/>
      <c r="E314" s="4"/>
      <c r="F314" s="4"/>
      <c r="G314" s="4"/>
      <c r="H314" s="4"/>
      <c r="I314" s="4"/>
      <c r="J314" s="4"/>
      <c r="K314" t="s">
        <v>20</v>
      </c>
      <c r="L314" t="s">
        <v>63</v>
      </c>
    </row>
    <row r="315" spans="1:12">
      <c r="A315" s="83">
        <v>46326</v>
      </c>
      <c r="B315" s="84" t="s">
        <v>13</v>
      </c>
      <c r="C315" s="84"/>
      <c r="D315" s="84" t="s">
        <v>19</v>
      </c>
      <c r="E315" s="84"/>
      <c r="F315" s="84"/>
      <c r="G315" s="84"/>
      <c r="H315" s="84"/>
      <c r="I315" s="84"/>
      <c r="J315" s="84"/>
      <c r="K315" t="s">
        <v>20</v>
      </c>
      <c r="L315" t="s">
        <v>63</v>
      </c>
    </row>
    <row r="316" spans="1:12">
      <c r="A316" s="98" t="s">
        <v>69</v>
      </c>
      <c r="B316" s="98" t="s">
        <v>69</v>
      </c>
      <c r="C316" s="98" t="s">
        <v>69</v>
      </c>
      <c r="D316" s="98" t="s">
        <v>69</v>
      </c>
      <c r="E316" s="98" t="s">
        <v>69</v>
      </c>
      <c r="F316" s="98" t="s">
        <v>69</v>
      </c>
      <c r="G316" s="98"/>
      <c r="H316" s="98"/>
      <c r="I316" s="98"/>
      <c r="J316" s="98" t="s">
        <v>69</v>
      </c>
      <c r="L316" t="s">
        <v>63</v>
      </c>
    </row>
    <row r="317" spans="1:12">
      <c r="A317" s="83">
        <v>46327</v>
      </c>
      <c r="B317" s="84" t="s">
        <v>13</v>
      </c>
      <c r="C317" s="84"/>
      <c r="D317" s="84" t="s">
        <v>19</v>
      </c>
      <c r="E317" s="84"/>
      <c r="F317" s="84"/>
      <c r="G317" s="84"/>
      <c r="H317" s="84"/>
      <c r="I317" s="84"/>
      <c r="J317" s="84"/>
      <c r="K317" t="s">
        <v>20</v>
      </c>
      <c r="L317" t="s">
        <v>63</v>
      </c>
    </row>
    <row r="318" spans="1:12">
      <c r="A318" s="73">
        <v>46328</v>
      </c>
      <c r="B318" s="4" t="s">
        <v>19</v>
      </c>
      <c r="C318" s="4" t="s">
        <v>65</v>
      </c>
      <c r="D318" s="4" t="s">
        <v>14</v>
      </c>
      <c r="E318" s="4" t="s">
        <v>60</v>
      </c>
      <c r="F318" s="4"/>
      <c r="G318" s="4"/>
      <c r="H318" s="4"/>
      <c r="I318" s="4"/>
      <c r="J318" s="4"/>
      <c r="L318" t="s">
        <v>63</v>
      </c>
    </row>
    <row r="319" spans="1:12">
      <c r="A319" s="73">
        <v>46329</v>
      </c>
      <c r="B319" s="4" t="s">
        <v>19</v>
      </c>
      <c r="C319" s="4" t="s">
        <v>65</v>
      </c>
      <c r="D319" s="4" t="s">
        <v>14</v>
      </c>
      <c r="E319" s="4" t="s">
        <v>60</v>
      </c>
      <c r="F319" s="4"/>
      <c r="G319" s="4"/>
      <c r="H319" s="4"/>
      <c r="I319" s="4"/>
      <c r="J319" s="4"/>
    </row>
    <row r="320" spans="1:12">
      <c r="A320" s="73">
        <v>46330</v>
      </c>
      <c r="B320" s="4" t="s">
        <v>19</v>
      </c>
      <c r="C320" s="4" t="s">
        <v>65</v>
      </c>
      <c r="D320" s="4" t="s">
        <v>14</v>
      </c>
      <c r="E320" s="4" t="s">
        <v>60</v>
      </c>
      <c r="F320" s="4"/>
      <c r="G320" s="4"/>
      <c r="H320" s="4"/>
      <c r="I320" s="4"/>
      <c r="J320" s="4"/>
    </row>
    <row r="321" spans="1:10">
      <c r="A321" s="73">
        <v>46331</v>
      </c>
      <c r="B321" s="4" t="s">
        <v>19</v>
      </c>
      <c r="C321" s="4" t="s">
        <v>65</v>
      </c>
      <c r="D321" s="4" t="s">
        <v>14</v>
      </c>
      <c r="E321" s="4" t="s">
        <v>61</v>
      </c>
      <c r="F321" s="4"/>
      <c r="G321" s="4"/>
      <c r="H321" s="4"/>
      <c r="I321" s="4"/>
      <c r="J321" s="4"/>
    </row>
    <row r="322" spans="1:10">
      <c r="A322" s="73">
        <v>46332</v>
      </c>
      <c r="B322" s="4" t="s">
        <v>19</v>
      </c>
      <c r="C322" s="4" t="s">
        <v>65</v>
      </c>
      <c r="D322" s="4" t="s">
        <v>14</v>
      </c>
      <c r="E322" s="4" t="s">
        <v>61</v>
      </c>
      <c r="F322" s="4"/>
      <c r="G322" s="4"/>
      <c r="H322" s="4"/>
      <c r="I322" s="4"/>
      <c r="J322" s="4"/>
    </row>
    <row r="323" spans="1:10">
      <c r="A323" s="83">
        <v>46333</v>
      </c>
      <c r="B323" s="84" t="s">
        <v>65</v>
      </c>
      <c r="C323" s="84"/>
      <c r="D323" s="84" t="s">
        <v>14</v>
      </c>
      <c r="E323" s="84" t="s">
        <v>61</v>
      </c>
      <c r="F323" s="84"/>
      <c r="G323" s="84"/>
      <c r="H323" s="84"/>
      <c r="I323" s="84"/>
      <c r="J323" s="84"/>
    </row>
    <row r="324" spans="1:10">
      <c r="A324" s="83">
        <v>46334</v>
      </c>
      <c r="B324" s="84" t="s">
        <v>65</v>
      </c>
      <c r="C324" s="84"/>
      <c r="D324" s="84" t="s">
        <v>14</v>
      </c>
      <c r="E324" s="84" t="s">
        <v>61</v>
      </c>
      <c r="F324" s="84"/>
      <c r="G324" s="84"/>
      <c r="H324" s="84"/>
      <c r="I324" s="84"/>
      <c r="J324" s="84"/>
    </row>
    <row r="325" spans="1:10">
      <c r="A325" s="73">
        <v>46335</v>
      </c>
      <c r="B325" s="4" t="s">
        <v>20</v>
      </c>
      <c r="C325" s="4" t="s">
        <v>18</v>
      </c>
      <c r="D325" s="4" t="s">
        <v>13</v>
      </c>
      <c r="E325" s="4"/>
      <c r="F325" s="4"/>
      <c r="G325" s="4"/>
      <c r="H325" s="4"/>
      <c r="I325" s="4"/>
      <c r="J325" s="4"/>
    </row>
    <row r="326" spans="1:10">
      <c r="A326" s="73">
        <v>46336</v>
      </c>
      <c r="B326" s="4" t="s">
        <v>20</v>
      </c>
      <c r="C326" s="4" t="s">
        <v>18</v>
      </c>
      <c r="D326" s="4" t="s">
        <v>13</v>
      </c>
      <c r="E326" s="4"/>
      <c r="F326" s="4"/>
      <c r="G326" s="4"/>
      <c r="H326" s="4"/>
      <c r="I326" s="4"/>
      <c r="J326" s="4"/>
    </row>
    <row r="327" spans="1:10">
      <c r="A327" s="73">
        <v>46337</v>
      </c>
      <c r="B327" s="4" t="s">
        <v>20</v>
      </c>
      <c r="C327" s="4" t="s">
        <v>18</v>
      </c>
      <c r="D327" s="4" t="s">
        <v>13</v>
      </c>
      <c r="E327" s="4"/>
      <c r="F327" s="4"/>
      <c r="G327" s="4"/>
      <c r="H327" s="4"/>
      <c r="I327" s="4"/>
      <c r="J327" s="4"/>
    </row>
    <row r="328" spans="1:10">
      <c r="A328" s="73">
        <v>46338</v>
      </c>
      <c r="B328" s="4" t="s">
        <v>20</v>
      </c>
      <c r="C328" s="4" t="s">
        <v>18</v>
      </c>
      <c r="D328" s="4" t="s">
        <v>13</v>
      </c>
      <c r="E328" s="4" t="s">
        <v>60</v>
      </c>
      <c r="F328" s="4"/>
      <c r="G328" s="4"/>
      <c r="H328" s="4"/>
      <c r="I328" s="4"/>
      <c r="J328" s="4"/>
    </row>
    <row r="329" spans="1:10">
      <c r="A329" s="73">
        <v>46339</v>
      </c>
      <c r="B329" s="4" t="s">
        <v>20</v>
      </c>
      <c r="C329" s="4" t="s">
        <v>18</v>
      </c>
      <c r="D329" s="4" t="s">
        <v>13</v>
      </c>
      <c r="E329" s="4" t="s">
        <v>60</v>
      </c>
      <c r="F329" s="4"/>
      <c r="G329" s="4"/>
      <c r="H329" s="4"/>
      <c r="I329" s="4"/>
      <c r="J329" s="4"/>
    </row>
    <row r="330" spans="1:10">
      <c r="A330" s="83">
        <v>46340</v>
      </c>
      <c r="B330" s="84" t="s">
        <v>20</v>
      </c>
      <c r="C330" s="84"/>
      <c r="D330" s="84" t="s">
        <v>67</v>
      </c>
      <c r="E330" s="84" t="s">
        <v>60</v>
      </c>
      <c r="F330" s="84"/>
      <c r="G330" s="84"/>
      <c r="H330" s="84"/>
      <c r="I330" s="84"/>
      <c r="J330" s="84"/>
    </row>
    <row r="331" spans="1:10">
      <c r="A331" s="83">
        <v>46341</v>
      </c>
      <c r="B331" s="84" t="s">
        <v>20</v>
      </c>
      <c r="C331" s="84"/>
      <c r="D331" s="84" t="s">
        <v>67</v>
      </c>
      <c r="E331" s="84" t="s">
        <v>60</v>
      </c>
      <c r="F331" s="84"/>
      <c r="G331" s="84"/>
      <c r="H331" s="84"/>
      <c r="I331" s="84"/>
      <c r="J331" s="84"/>
    </row>
    <row r="332" spans="1:10">
      <c r="A332" s="73">
        <v>46342</v>
      </c>
      <c r="B332" s="4" t="s">
        <v>17</v>
      </c>
      <c r="C332" s="4" t="s">
        <v>14</v>
      </c>
      <c r="D332" s="4" t="s">
        <v>65</v>
      </c>
      <c r="E332" s="4" t="s">
        <v>61</v>
      </c>
      <c r="F332" s="4"/>
      <c r="G332" s="4"/>
      <c r="H332" s="4"/>
      <c r="I332" s="4"/>
      <c r="J332" s="4"/>
    </row>
    <row r="333" spans="1:10">
      <c r="A333" s="73">
        <v>46343</v>
      </c>
      <c r="B333" s="4" t="s">
        <v>17</v>
      </c>
      <c r="C333" s="4" t="s">
        <v>14</v>
      </c>
      <c r="D333" s="4" t="s">
        <v>65</v>
      </c>
      <c r="E333" s="4" t="s">
        <v>61</v>
      </c>
      <c r="F333" s="4"/>
      <c r="G333" s="4"/>
      <c r="H333" s="4"/>
      <c r="I333" s="4"/>
      <c r="J333" s="4"/>
    </row>
    <row r="334" spans="1:10">
      <c r="A334" s="73">
        <v>46344</v>
      </c>
      <c r="B334" s="4" t="s">
        <v>17</v>
      </c>
      <c r="C334" s="4" t="s">
        <v>14</v>
      </c>
      <c r="D334" s="4" t="s">
        <v>65</v>
      </c>
      <c r="E334" s="4" t="s">
        <v>61</v>
      </c>
      <c r="F334" s="4"/>
      <c r="G334" s="4"/>
      <c r="H334" s="4"/>
      <c r="I334" s="4"/>
      <c r="J334" s="4"/>
    </row>
    <row r="335" spans="1:10">
      <c r="A335" s="73">
        <v>46345</v>
      </c>
      <c r="B335" s="4" t="s">
        <v>17</v>
      </c>
      <c r="C335" s="4" t="s">
        <v>14</v>
      </c>
      <c r="D335" s="4" t="s">
        <v>65</v>
      </c>
      <c r="E335" s="4" t="s">
        <v>67</v>
      </c>
      <c r="F335" s="4"/>
      <c r="G335" s="4"/>
      <c r="H335" s="4"/>
      <c r="I335" s="4"/>
      <c r="J335" s="4"/>
    </row>
    <row r="336" spans="1:10">
      <c r="A336" s="73">
        <v>46346</v>
      </c>
      <c r="B336" s="4" t="s">
        <v>17</v>
      </c>
      <c r="C336" s="4" t="s">
        <v>14</v>
      </c>
      <c r="D336" s="4" t="s">
        <v>65</v>
      </c>
      <c r="E336" s="4" t="s">
        <v>67</v>
      </c>
      <c r="F336" s="4"/>
      <c r="G336" s="4"/>
      <c r="H336" s="4"/>
      <c r="I336" s="4"/>
      <c r="J336" s="4"/>
    </row>
    <row r="337" spans="1:17">
      <c r="A337" s="83">
        <v>46347</v>
      </c>
      <c r="B337" s="84" t="s">
        <v>17</v>
      </c>
      <c r="C337" s="84"/>
      <c r="D337" s="84" t="s">
        <v>65</v>
      </c>
      <c r="E337" s="84" t="s">
        <v>67</v>
      </c>
      <c r="F337" s="84"/>
      <c r="G337" s="84"/>
      <c r="H337" s="84"/>
      <c r="I337" s="84"/>
      <c r="J337" s="84"/>
    </row>
    <row r="338" spans="1:17">
      <c r="A338" s="83">
        <v>46348</v>
      </c>
      <c r="B338" s="84" t="s">
        <v>17</v>
      </c>
      <c r="C338" s="84"/>
      <c r="D338" s="84" t="s">
        <v>65</v>
      </c>
      <c r="E338" s="84" t="s">
        <v>67</v>
      </c>
      <c r="F338" s="84"/>
      <c r="G338" s="84"/>
      <c r="H338" s="84"/>
      <c r="I338" s="84"/>
      <c r="J338" s="84"/>
      <c r="O338" t="s">
        <v>53</v>
      </c>
    </row>
    <row r="339" spans="1:17">
      <c r="A339" s="73">
        <v>46349</v>
      </c>
      <c r="B339" s="4" t="s">
        <v>26</v>
      </c>
      <c r="C339" s="4" t="s">
        <v>13</v>
      </c>
      <c r="D339" s="4" t="s">
        <v>19</v>
      </c>
      <c r="E339" s="4" t="s">
        <v>60</v>
      </c>
      <c r="F339" s="4"/>
      <c r="G339" s="4"/>
      <c r="H339" s="4"/>
      <c r="I339" s="4"/>
      <c r="J339" s="4"/>
    </row>
    <row r="340" spans="1:17">
      <c r="A340" s="73">
        <v>46350</v>
      </c>
      <c r="B340" s="4" t="s">
        <v>26</v>
      </c>
      <c r="C340" s="4" t="s">
        <v>13</v>
      </c>
      <c r="D340" s="4" t="s">
        <v>19</v>
      </c>
      <c r="E340" s="4" t="s">
        <v>60</v>
      </c>
      <c r="F340" s="4"/>
      <c r="G340" s="4"/>
      <c r="H340" s="4"/>
      <c r="I340" s="4"/>
      <c r="J340" s="4"/>
    </row>
    <row r="341" spans="1:17">
      <c r="A341" s="73">
        <v>46351</v>
      </c>
      <c r="B341" s="4" t="s">
        <v>26</v>
      </c>
      <c r="C341" s="4" t="s">
        <v>13</v>
      </c>
      <c r="D341" s="4" t="s">
        <v>19</v>
      </c>
      <c r="E341" s="4" t="s">
        <v>60</v>
      </c>
      <c r="F341" s="4"/>
      <c r="G341" s="4"/>
      <c r="H341" s="4"/>
      <c r="I341" s="4"/>
      <c r="J341" s="4"/>
    </row>
    <row r="342" spans="1:17">
      <c r="A342" s="77">
        <v>46352</v>
      </c>
      <c r="B342" s="78" t="s">
        <v>26</v>
      </c>
      <c r="C342" s="78"/>
      <c r="D342" s="78" t="s">
        <v>19</v>
      </c>
      <c r="E342" s="78" t="s">
        <v>61</v>
      </c>
      <c r="F342" s="78"/>
      <c r="G342" s="78"/>
      <c r="H342" s="78"/>
      <c r="I342" s="78"/>
      <c r="J342" s="78"/>
    </row>
    <row r="343" spans="1:17">
      <c r="A343" s="73">
        <v>46353</v>
      </c>
      <c r="B343" s="4" t="s">
        <v>26</v>
      </c>
      <c r="C343" s="4" t="s">
        <v>13</v>
      </c>
      <c r="D343" s="4" t="s">
        <v>19</v>
      </c>
      <c r="E343" s="4" t="s">
        <v>61</v>
      </c>
      <c r="F343" s="4"/>
      <c r="G343" s="4"/>
      <c r="H343" s="4"/>
      <c r="I343" s="4"/>
      <c r="J343" s="4"/>
    </row>
    <row r="344" spans="1:17">
      <c r="A344" s="83">
        <v>46354</v>
      </c>
      <c r="B344" s="84" t="s">
        <v>16</v>
      </c>
      <c r="C344" s="84"/>
      <c r="D344" s="84" t="s">
        <v>19</v>
      </c>
      <c r="E344" s="84" t="s">
        <v>61</v>
      </c>
      <c r="F344" s="84"/>
      <c r="G344" s="84"/>
      <c r="H344" s="84"/>
      <c r="I344" s="84"/>
      <c r="J344" s="84"/>
    </row>
    <row r="345" spans="1:17">
      <c r="A345" s="83">
        <v>46355</v>
      </c>
      <c r="B345" s="84" t="s">
        <v>16</v>
      </c>
      <c r="C345" s="84"/>
      <c r="D345" s="84" t="s">
        <v>19</v>
      </c>
      <c r="E345" s="84" t="s">
        <v>61</v>
      </c>
      <c r="F345" s="84"/>
      <c r="G345" s="84"/>
      <c r="H345" s="84"/>
      <c r="I345" s="84"/>
      <c r="J345" s="84"/>
    </row>
    <row r="346" spans="1:17">
      <c r="A346" s="73">
        <v>46356</v>
      </c>
      <c r="B346" s="4" t="s">
        <v>60</v>
      </c>
      <c r="C346" s="4" t="s">
        <v>14</v>
      </c>
      <c r="D346" s="4" t="s">
        <v>13</v>
      </c>
      <c r="E346" s="4" t="s">
        <v>67</v>
      </c>
      <c r="F346" s="4"/>
      <c r="G346" s="4"/>
      <c r="H346" s="4"/>
      <c r="I346" s="4"/>
      <c r="J346" s="4"/>
    </row>
    <row r="347" spans="1:17">
      <c r="A347" s="98" t="s">
        <v>70</v>
      </c>
      <c r="B347" s="98" t="s">
        <v>70</v>
      </c>
      <c r="C347" s="98" t="s">
        <v>70</v>
      </c>
      <c r="D347" s="98" t="s">
        <v>70</v>
      </c>
      <c r="E347" s="98" t="s">
        <v>70</v>
      </c>
      <c r="F347" s="98" t="s">
        <v>70</v>
      </c>
      <c r="G347" s="98"/>
      <c r="H347" s="98"/>
      <c r="I347" s="98"/>
      <c r="J347" s="98" t="s">
        <v>70</v>
      </c>
    </row>
    <row r="348" spans="1:17">
      <c r="A348" s="73">
        <v>46357</v>
      </c>
      <c r="B348" s="4" t="s">
        <v>60</v>
      </c>
      <c r="C348" s="4" t="s">
        <v>14</v>
      </c>
      <c r="D348" s="4" t="s">
        <v>13</v>
      </c>
      <c r="E348" s="4" t="s">
        <v>67</v>
      </c>
      <c r="F348" s="4"/>
      <c r="G348" s="4"/>
      <c r="H348" s="4"/>
      <c r="I348" s="4"/>
      <c r="J348" s="4"/>
    </row>
    <row r="349" spans="1:17">
      <c r="A349" s="73">
        <v>46358</v>
      </c>
      <c r="B349" s="4" t="s">
        <v>60</v>
      </c>
      <c r="C349" s="4" t="s">
        <v>14</v>
      </c>
      <c r="D349" s="4" t="s">
        <v>13</v>
      </c>
      <c r="E349" s="4" t="s">
        <v>67</v>
      </c>
      <c r="F349" s="4"/>
      <c r="G349" s="4"/>
      <c r="H349" s="4"/>
      <c r="I349" s="4"/>
      <c r="J349" s="4"/>
    </row>
    <row r="350" spans="1:17">
      <c r="A350" s="73">
        <v>46359</v>
      </c>
      <c r="B350" s="4" t="s">
        <v>60</v>
      </c>
      <c r="C350" s="4" t="s">
        <v>14</v>
      </c>
      <c r="D350" s="4" t="s">
        <v>13</v>
      </c>
      <c r="E350" s="4"/>
      <c r="F350" s="4"/>
      <c r="G350" s="4"/>
      <c r="H350" s="4"/>
      <c r="I350" s="4"/>
      <c r="J350" s="4"/>
    </row>
    <row r="351" spans="1:17">
      <c r="A351" s="73">
        <v>46360</v>
      </c>
      <c r="B351" s="4" t="s">
        <v>60</v>
      </c>
      <c r="C351" s="4" t="s">
        <v>14</v>
      </c>
      <c r="D351" s="4" t="s">
        <v>13</v>
      </c>
      <c r="E351" s="4"/>
      <c r="F351" s="4"/>
      <c r="G351" s="4"/>
      <c r="H351" s="4"/>
      <c r="I351" s="4"/>
      <c r="J351" s="4"/>
    </row>
    <row r="352" spans="1:17">
      <c r="A352" s="83">
        <v>46361</v>
      </c>
      <c r="B352" s="84" t="s">
        <v>27</v>
      </c>
      <c r="C352" s="84"/>
      <c r="D352" s="84" t="s">
        <v>18</v>
      </c>
      <c r="E352" s="84"/>
      <c r="F352" s="84"/>
      <c r="G352" s="84"/>
      <c r="H352" s="84"/>
      <c r="I352" s="84"/>
      <c r="J352" s="84"/>
      <c r="O352" s="102"/>
      <c r="P352" s="102"/>
      <c r="Q352" s="102"/>
    </row>
    <row r="353" spans="1:17">
      <c r="A353" s="83">
        <v>46362</v>
      </c>
      <c r="B353" s="84" t="s">
        <v>27</v>
      </c>
      <c r="C353" s="84"/>
      <c r="D353" s="84" t="s">
        <v>18</v>
      </c>
      <c r="E353" s="84"/>
      <c r="F353" s="84"/>
      <c r="G353" s="84"/>
      <c r="H353" s="84"/>
      <c r="I353" s="84"/>
      <c r="J353" s="84"/>
      <c r="O353" s="102"/>
      <c r="P353" s="102"/>
      <c r="Q353" s="102"/>
    </row>
    <row r="354" spans="1:17">
      <c r="A354" s="73">
        <v>46363</v>
      </c>
      <c r="B354" s="4" t="s">
        <v>61</v>
      </c>
      <c r="C354" s="4" t="s">
        <v>67</v>
      </c>
      <c r="D354" s="4" t="s">
        <v>71</v>
      </c>
      <c r="E354" s="4"/>
      <c r="F354" s="4"/>
      <c r="G354" s="4"/>
      <c r="H354" s="4"/>
      <c r="I354" s="4"/>
      <c r="J354" s="4"/>
    </row>
    <row r="355" spans="1:17">
      <c r="A355" s="73">
        <v>46364</v>
      </c>
      <c r="B355" s="4" t="s">
        <v>61</v>
      </c>
      <c r="C355" s="4" t="s">
        <v>67</v>
      </c>
      <c r="D355" s="4" t="s">
        <v>71</v>
      </c>
      <c r="E355" s="4"/>
      <c r="F355" s="4"/>
      <c r="G355" s="4"/>
      <c r="H355" s="4"/>
      <c r="I355" s="4"/>
      <c r="J355" s="4"/>
    </row>
    <row r="356" spans="1:17">
      <c r="A356" s="73">
        <v>46365</v>
      </c>
      <c r="B356" s="4" t="s">
        <v>61</v>
      </c>
      <c r="C356" s="4" t="s">
        <v>67</v>
      </c>
      <c r="D356" s="4" t="s">
        <v>71</v>
      </c>
      <c r="E356" s="4"/>
      <c r="F356" s="4"/>
      <c r="G356" s="4"/>
      <c r="H356" s="4"/>
      <c r="I356" s="4"/>
      <c r="J356" s="4"/>
    </row>
    <row r="357" spans="1:17">
      <c r="A357" s="73">
        <v>46366</v>
      </c>
      <c r="B357" s="4" t="s">
        <v>61</v>
      </c>
      <c r="C357" s="4" t="s">
        <v>67</v>
      </c>
      <c r="D357" s="4" t="s">
        <v>71</v>
      </c>
      <c r="E357" s="4"/>
      <c r="F357" s="4"/>
      <c r="G357" s="4"/>
      <c r="H357" s="4"/>
      <c r="I357" s="4"/>
      <c r="J357" s="4"/>
    </row>
    <row r="358" spans="1:17">
      <c r="A358" s="73">
        <v>46367</v>
      </c>
      <c r="B358" s="4" t="s">
        <v>61</v>
      </c>
      <c r="C358" s="4" t="s">
        <v>67</v>
      </c>
      <c r="D358" s="4" t="s">
        <v>71</v>
      </c>
      <c r="E358" s="4"/>
      <c r="F358" s="4"/>
      <c r="G358" s="4"/>
      <c r="H358" s="4"/>
      <c r="I358" s="4"/>
      <c r="J358" s="4"/>
    </row>
    <row r="359" spans="1:17">
      <c r="A359" s="83">
        <v>46368</v>
      </c>
      <c r="B359" s="84" t="s">
        <v>67</v>
      </c>
      <c r="C359" s="84"/>
      <c r="D359" s="84" t="s">
        <v>71</v>
      </c>
      <c r="E359" s="84"/>
      <c r="F359" s="84"/>
      <c r="G359" s="84"/>
      <c r="H359" s="84"/>
      <c r="I359" s="84"/>
      <c r="J359" s="84"/>
    </row>
    <row r="360" spans="1:17">
      <c r="A360" s="83">
        <v>46369</v>
      </c>
      <c r="B360" s="84" t="s">
        <v>67</v>
      </c>
      <c r="C360" s="84"/>
      <c r="D360" s="84" t="s">
        <v>71</v>
      </c>
      <c r="E360" s="84"/>
      <c r="F360" s="84"/>
      <c r="G360" s="84"/>
      <c r="H360" s="84"/>
      <c r="I360" s="84"/>
      <c r="J360" s="84"/>
    </row>
    <row r="361" spans="1:17">
      <c r="A361" s="73">
        <v>46370</v>
      </c>
      <c r="B361" s="4" t="s">
        <v>16</v>
      </c>
      <c r="C361" s="4" t="s">
        <v>14</v>
      </c>
      <c r="D361" s="4" t="s">
        <v>18</v>
      </c>
      <c r="E361" s="4"/>
      <c r="F361" s="4"/>
      <c r="G361" s="4"/>
      <c r="H361" s="4"/>
      <c r="I361" s="4"/>
      <c r="J361" s="4"/>
    </row>
    <row r="362" spans="1:17">
      <c r="A362" s="73">
        <v>46371</v>
      </c>
      <c r="B362" s="4" t="s">
        <v>16</v>
      </c>
      <c r="C362" s="4" t="s">
        <v>14</v>
      </c>
      <c r="D362" s="4" t="s">
        <v>18</v>
      </c>
      <c r="E362" s="4"/>
      <c r="F362" s="4"/>
      <c r="G362" s="4"/>
      <c r="H362" s="4"/>
      <c r="I362" s="4"/>
      <c r="J362" s="4"/>
    </row>
    <row r="363" spans="1:17">
      <c r="A363" s="73">
        <v>46372</v>
      </c>
      <c r="B363" s="4" t="s">
        <v>16</v>
      </c>
      <c r="C363" s="4" t="s">
        <v>14</v>
      </c>
      <c r="D363" s="4" t="s">
        <v>18</v>
      </c>
      <c r="E363" s="4"/>
      <c r="F363" s="4"/>
      <c r="G363" s="4"/>
      <c r="H363" s="4"/>
      <c r="I363" s="4"/>
      <c r="J363" s="4"/>
    </row>
    <row r="364" spans="1:17">
      <c r="A364" s="73">
        <v>46373</v>
      </c>
      <c r="B364" s="4" t="s">
        <v>16</v>
      </c>
      <c r="C364" s="4" t="s">
        <v>14</v>
      </c>
      <c r="D364" s="4" t="s">
        <v>18</v>
      </c>
      <c r="E364" s="4"/>
      <c r="F364" s="4"/>
      <c r="G364" s="4"/>
      <c r="H364" s="4"/>
      <c r="I364" s="4"/>
      <c r="J364" s="4"/>
    </row>
    <row r="365" spans="1:17">
      <c r="A365" s="73">
        <v>46374</v>
      </c>
      <c r="B365" s="4" t="s">
        <v>16</v>
      </c>
      <c r="C365" s="4" t="s">
        <v>14</v>
      </c>
      <c r="D365" s="4" t="s">
        <v>18</v>
      </c>
      <c r="E365" s="4"/>
      <c r="F365" s="4"/>
      <c r="G365" s="4"/>
      <c r="H365" s="4"/>
      <c r="I365" s="4"/>
      <c r="J365" s="4"/>
    </row>
    <row r="366" spans="1:17">
      <c r="A366" s="83">
        <v>46375</v>
      </c>
      <c r="B366" s="84" t="s">
        <v>61</v>
      </c>
      <c r="C366" s="84"/>
      <c r="D366" s="84" t="s">
        <v>22</v>
      </c>
      <c r="E366" s="84"/>
      <c r="F366" s="84"/>
      <c r="G366" s="84"/>
      <c r="H366" s="84"/>
      <c r="I366" s="84"/>
      <c r="J366" s="84"/>
    </row>
    <row r="367" spans="1:17">
      <c r="A367" s="83">
        <v>46376</v>
      </c>
      <c r="B367" s="84" t="s">
        <v>61</v>
      </c>
      <c r="C367" s="84"/>
      <c r="D367" s="84" t="s">
        <v>22</v>
      </c>
      <c r="E367" s="84"/>
      <c r="F367" s="84"/>
      <c r="G367" s="84"/>
      <c r="H367" s="84"/>
      <c r="I367" s="84"/>
      <c r="J367" s="84"/>
    </row>
    <row r="368" spans="1:17">
      <c r="A368" s="73">
        <v>46377</v>
      </c>
      <c r="B368" s="4" t="s">
        <v>27</v>
      </c>
      <c r="C368" s="4" t="s">
        <v>17</v>
      </c>
      <c r="D368" s="4" t="s">
        <v>71</v>
      </c>
      <c r="E368" s="4"/>
      <c r="F368" s="4"/>
      <c r="G368" s="4"/>
      <c r="H368" s="4"/>
      <c r="I368" s="4"/>
      <c r="J368" s="4"/>
      <c r="O368" t="s">
        <v>44</v>
      </c>
    </row>
    <row r="369" spans="1:10">
      <c r="A369" s="73">
        <v>46378</v>
      </c>
      <c r="B369" s="4" t="s">
        <v>27</v>
      </c>
      <c r="C369" s="4" t="s">
        <v>17</v>
      </c>
      <c r="D369" s="4" t="s">
        <v>71</v>
      </c>
      <c r="E369" s="4"/>
      <c r="F369" s="4"/>
      <c r="G369" s="4"/>
      <c r="H369" s="4"/>
      <c r="I369" s="4"/>
      <c r="J369" s="4"/>
    </row>
    <row r="370" spans="1:10">
      <c r="A370" s="73">
        <v>46379</v>
      </c>
      <c r="B370" s="4" t="s">
        <v>27</v>
      </c>
      <c r="C370" s="4" t="s">
        <v>17</v>
      </c>
      <c r="D370" s="4" t="s">
        <v>71</v>
      </c>
      <c r="E370" s="4"/>
      <c r="F370" s="4"/>
      <c r="G370" s="4"/>
      <c r="H370" s="4"/>
      <c r="I370" s="4"/>
      <c r="J370" s="4"/>
    </row>
    <row r="371" spans="1:10">
      <c r="A371" s="73">
        <v>46380</v>
      </c>
      <c r="B371" s="4" t="s">
        <v>27</v>
      </c>
      <c r="C371" s="4" t="s">
        <v>17</v>
      </c>
      <c r="D371" s="4" t="s">
        <v>71</v>
      </c>
      <c r="E371" s="4"/>
      <c r="F371" s="4"/>
      <c r="G371" s="4"/>
      <c r="H371" s="4"/>
      <c r="I371" s="4"/>
      <c r="J371" s="4"/>
    </row>
    <row r="372" spans="1:10">
      <c r="A372" s="77">
        <v>46381</v>
      </c>
      <c r="B372" s="78" t="s">
        <v>27</v>
      </c>
      <c r="C372" s="78"/>
      <c r="D372" s="78" t="s">
        <v>71</v>
      </c>
      <c r="E372" s="78"/>
      <c r="F372" s="78"/>
      <c r="G372" s="78"/>
      <c r="H372" s="78"/>
      <c r="I372" s="78"/>
      <c r="J372" s="78"/>
    </row>
    <row r="373" spans="1:10">
      <c r="A373" s="83">
        <v>46382</v>
      </c>
      <c r="B373" s="84" t="s">
        <v>27</v>
      </c>
      <c r="C373" s="84"/>
      <c r="D373" s="84" t="s">
        <v>71</v>
      </c>
      <c r="E373" s="84"/>
      <c r="F373" s="84"/>
      <c r="G373" s="84"/>
      <c r="H373" s="84"/>
      <c r="I373" s="84"/>
      <c r="J373" s="84"/>
    </row>
    <row r="374" spans="1:10">
      <c r="A374" s="83">
        <v>46383</v>
      </c>
      <c r="B374" s="84" t="s">
        <v>27</v>
      </c>
      <c r="C374" s="84"/>
      <c r="D374" s="84" t="s">
        <v>71</v>
      </c>
      <c r="E374" s="84"/>
      <c r="F374" s="84"/>
      <c r="G374" s="84"/>
      <c r="H374" s="84"/>
      <c r="I374" s="84"/>
      <c r="J374" s="84"/>
    </row>
    <row r="375" spans="1:10">
      <c r="A375" s="73">
        <v>46384</v>
      </c>
      <c r="B375" s="4" t="s">
        <v>67</v>
      </c>
      <c r="C375" s="4" t="s">
        <v>61</v>
      </c>
      <c r="D375" s="4" t="s">
        <v>60</v>
      </c>
      <c r="E375" s="4"/>
      <c r="F375" s="4"/>
      <c r="G375" s="4"/>
      <c r="H375" s="4"/>
      <c r="I375" s="4"/>
      <c r="J375" s="4"/>
    </row>
    <row r="376" spans="1:10">
      <c r="A376" s="73">
        <v>46385</v>
      </c>
      <c r="B376" s="4" t="s">
        <v>67</v>
      </c>
      <c r="C376" s="4" t="s">
        <v>61</v>
      </c>
      <c r="D376" s="4" t="s">
        <v>60</v>
      </c>
      <c r="E376" s="4"/>
      <c r="F376" s="4"/>
      <c r="G376" s="4"/>
      <c r="H376" s="4"/>
      <c r="I376" s="4"/>
      <c r="J376" s="4"/>
    </row>
    <row r="377" spans="1:10">
      <c r="A377" s="73">
        <v>46386</v>
      </c>
      <c r="B377" s="4" t="s">
        <v>67</v>
      </c>
      <c r="C377" s="4" t="s">
        <v>61</v>
      </c>
      <c r="D377" s="4" t="s">
        <v>60</v>
      </c>
      <c r="E377" s="4"/>
      <c r="F377" s="4"/>
      <c r="G377" s="4"/>
      <c r="H377" s="4"/>
      <c r="I377" s="4"/>
      <c r="J377" s="4"/>
    </row>
    <row r="378" spans="1:10">
      <c r="A378" s="73">
        <v>46387</v>
      </c>
      <c r="B378" s="4" t="s">
        <v>67</v>
      </c>
      <c r="C378" s="4" t="s">
        <v>61</v>
      </c>
      <c r="D378" s="4" t="s">
        <v>60</v>
      </c>
      <c r="E378" s="4"/>
      <c r="F378" s="4"/>
      <c r="G378" s="4"/>
      <c r="H378" s="4"/>
      <c r="I378" s="4"/>
      <c r="J378" s="4"/>
    </row>
    <row r="379" spans="1:10">
      <c r="A379" s="77">
        <v>46388</v>
      </c>
      <c r="B379" s="78" t="s">
        <v>67</v>
      </c>
      <c r="C379" s="78"/>
      <c r="D379" s="78" t="s">
        <v>60</v>
      </c>
      <c r="E379" s="78"/>
      <c r="F379" s="78"/>
      <c r="G379" s="78"/>
      <c r="H379" s="78"/>
      <c r="I379" s="78"/>
      <c r="J379" s="78"/>
    </row>
    <row r="380" spans="1:10">
      <c r="A380" s="83">
        <v>46389</v>
      </c>
      <c r="B380" s="84" t="s">
        <v>67</v>
      </c>
      <c r="C380" s="84"/>
      <c r="D380" s="84" t="s">
        <v>60</v>
      </c>
      <c r="E380" s="84"/>
    </row>
    <row r="381" spans="1:10">
      <c r="A381" s="83">
        <v>46390</v>
      </c>
      <c r="B381" s="84" t="s">
        <v>67</v>
      </c>
      <c r="C381" s="84"/>
      <c r="D381" s="84" t="s">
        <v>60</v>
      </c>
      <c r="E381" s="84"/>
    </row>
  </sheetData>
  <autoFilter ref="A1:O381" xr:uid="{2B2FF9D6-5A47-47CF-81EF-AE27228711C4}"/>
  <phoneticPr fontId="1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6FC329-52E7-43F4-BB70-446A2EA89B4C}">
  <dimension ref="A1:R84"/>
  <sheetViews>
    <sheetView topLeftCell="A16" zoomScaleNormal="100" workbookViewId="0">
      <selection activeCell="E49" sqref="E49"/>
    </sheetView>
  </sheetViews>
  <sheetFormatPr defaultRowHeight="15"/>
  <cols>
    <col min="1" max="1" width="17.140625" bestFit="1" customWidth="1"/>
    <col min="2" max="2" width="17.7109375" bestFit="1" customWidth="1"/>
    <col min="4" max="4" width="18.5703125" bestFit="1" customWidth="1"/>
    <col min="5" max="5" width="11.5703125" bestFit="1" customWidth="1"/>
    <col min="6" max="6" width="16.5703125" bestFit="1" customWidth="1"/>
    <col min="8" max="8" width="12.28515625" bestFit="1" customWidth="1"/>
    <col min="11" max="11" width="10.140625" bestFit="1" customWidth="1"/>
    <col min="12" max="12" width="10.140625" customWidth="1"/>
    <col min="13" max="13" width="9.28515625" bestFit="1" customWidth="1"/>
    <col min="14" max="14" width="15.28515625" bestFit="1" customWidth="1"/>
    <col min="15" max="15" width="18.7109375" bestFit="1" customWidth="1"/>
    <col min="16" max="16" width="14" bestFit="1" customWidth="1"/>
  </cols>
  <sheetData>
    <row r="1" spans="1:17">
      <c r="A1" s="22" t="s">
        <v>72</v>
      </c>
    </row>
    <row r="2" spans="1:17">
      <c r="A2" s="110" t="s">
        <v>73</v>
      </c>
      <c r="B2" s="111" t="s">
        <v>74</v>
      </c>
      <c r="C2" s="111" t="s">
        <v>2</v>
      </c>
      <c r="D2" s="14" t="s">
        <v>75</v>
      </c>
      <c r="E2" s="111" t="s">
        <v>76</v>
      </c>
      <c r="F2" s="111" t="s">
        <v>77</v>
      </c>
      <c r="G2" s="111" t="s">
        <v>3</v>
      </c>
      <c r="H2" s="111" t="s">
        <v>78</v>
      </c>
      <c r="I2" s="111" t="s">
        <v>79</v>
      </c>
      <c r="J2" s="112" t="s">
        <v>80</v>
      </c>
      <c r="K2" s="113" t="s">
        <v>81</v>
      </c>
      <c r="L2" s="14" t="s">
        <v>7</v>
      </c>
      <c r="M2" s="14" t="s">
        <v>82</v>
      </c>
      <c r="N2" s="14" t="s">
        <v>83</v>
      </c>
      <c r="O2" s="14" t="s">
        <v>84</v>
      </c>
      <c r="P2" s="14" t="s">
        <v>85</v>
      </c>
    </row>
    <row r="3" spans="1:17">
      <c r="A3" s="4" t="s">
        <v>60</v>
      </c>
      <c r="B3" s="26">
        <f>SUM(B22,B41)</f>
        <v>1</v>
      </c>
      <c r="C3" s="26">
        <f>SUM(C22,C41)</f>
        <v>3</v>
      </c>
      <c r="D3" s="26">
        <f>D22+D41</f>
        <v>2</v>
      </c>
      <c r="E3" s="26">
        <f t="shared" ref="E3:F17" si="0">SUM(E22,E41)</f>
        <v>1</v>
      </c>
      <c r="F3" s="26">
        <f t="shared" si="0"/>
        <v>2</v>
      </c>
      <c r="G3" s="26">
        <f>G22+G41</f>
        <v>2</v>
      </c>
      <c r="H3" s="26">
        <f>SUM(H22,H41)</f>
        <v>2</v>
      </c>
      <c r="I3" s="26">
        <f>SUM(I22,I41)</f>
        <v>0</v>
      </c>
      <c r="J3" s="104">
        <f>I3+G3+D3+C3+B3</f>
        <v>8</v>
      </c>
      <c r="K3" s="104">
        <f>E3+F3+H3</f>
        <v>5</v>
      </c>
      <c r="L3" s="104">
        <f>L22+L41</f>
        <v>0</v>
      </c>
      <c r="M3" s="114">
        <v>12</v>
      </c>
      <c r="N3" s="114">
        <v>6</v>
      </c>
      <c r="O3">
        <f t="shared" ref="O3" si="1">M3-J3</f>
        <v>4</v>
      </c>
      <c r="P3">
        <f>N3-K3</f>
        <v>1</v>
      </c>
    </row>
    <row r="4" spans="1:17">
      <c r="A4" s="4" t="s">
        <v>61</v>
      </c>
      <c r="B4" s="26">
        <f t="shared" ref="B4:C17" si="2">SUM(B23,B42)</f>
        <v>3</v>
      </c>
      <c r="C4" s="26">
        <f t="shared" si="2"/>
        <v>1</v>
      </c>
      <c r="D4" s="26">
        <f>D23+D42</f>
        <v>2</v>
      </c>
      <c r="E4" s="26">
        <f t="shared" si="0"/>
        <v>2</v>
      </c>
      <c r="F4" s="26">
        <f>SUM(F23,F42)</f>
        <v>2</v>
      </c>
      <c r="G4" s="26">
        <f>SUM(G23,G42)</f>
        <v>2</v>
      </c>
      <c r="H4" s="26">
        <f t="shared" ref="H3:I17" si="3">SUM(H23,H42)</f>
        <v>2</v>
      </c>
      <c r="I4" s="26">
        <f t="shared" si="3"/>
        <v>0</v>
      </c>
      <c r="J4" s="104">
        <f>I4+G4+D4+C4+B4</f>
        <v>8</v>
      </c>
      <c r="K4" s="104">
        <f t="shared" ref="K4:K8" si="4">E4+F4+H4</f>
        <v>6</v>
      </c>
      <c r="L4" s="104">
        <f t="shared" ref="L4:L17" si="5">L23+L42</f>
        <v>0</v>
      </c>
      <c r="M4" s="114">
        <v>12</v>
      </c>
      <c r="N4" s="114">
        <v>6</v>
      </c>
      <c r="O4">
        <f>M4-J4</f>
        <v>4</v>
      </c>
      <c r="P4">
        <f t="shared" ref="P4" si="6">N4-K4</f>
        <v>0</v>
      </c>
    </row>
    <row r="5" spans="1:17">
      <c r="A5" s="4" t="s">
        <v>67</v>
      </c>
      <c r="B5" s="26">
        <f t="shared" si="2"/>
        <v>1</v>
      </c>
      <c r="C5" s="26">
        <f t="shared" si="2"/>
        <v>2</v>
      </c>
      <c r="D5" s="26">
        <f>D24+D43</f>
        <v>1</v>
      </c>
      <c r="E5" s="26">
        <f t="shared" si="0"/>
        <v>1</v>
      </c>
      <c r="F5" s="26">
        <f t="shared" si="0"/>
        <v>1</v>
      </c>
      <c r="G5" s="26">
        <f t="shared" ref="G4:G17" si="7">SUM(G24,G43)</f>
        <v>0</v>
      </c>
      <c r="H5" s="26">
        <f t="shared" si="3"/>
        <v>0</v>
      </c>
      <c r="I5" s="26">
        <f t="shared" si="3"/>
        <v>0</v>
      </c>
      <c r="J5" s="104">
        <f>I5+G5+D5+C5+B5</f>
        <v>4</v>
      </c>
      <c r="K5" s="104">
        <f t="shared" si="4"/>
        <v>2</v>
      </c>
      <c r="L5" s="104">
        <f t="shared" si="5"/>
        <v>0</v>
      </c>
      <c r="M5" s="114">
        <v>7</v>
      </c>
      <c r="N5" s="114">
        <v>4</v>
      </c>
      <c r="O5">
        <f t="shared" ref="O5:O17" si="8">M5-J5</f>
        <v>3</v>
      </c>
      <c r="P5">
        <f>N5-K5</f>
        <v>2</v>
      </c>
    </row>
    <row r="6" spans="1:17">
      <c r="A6" s="4" t="s">
        <v>65</v>
      </c>
      <c r="B6" s="26">
        <f t="shared" si="2"/>
        <v>1</v>
      </c>
      <c r="C6" s="26">
        <f t="shared" si="2"/>
        <v>1</v>
      </c>
      <c r="D6" s="26">
        <f>SUM(D25,D44)</f>
        <v>0</v>
      </c>
      <c r="E6" s="26">
        <f t="shared" si="0"/>
        <v>1</v>
      </c>
      <c r="F6" s="26">
        <f>SUM(F25,F44)</f>
        <v>0</v>
      </c>
      <c r="G6" s="26">
        <f t="shared" si="7"/>
        <v>1</v>
      </c>
      <c r="H6" s="26">
        <f t="shared" si="3"/>
        <v>2</v>
      </c>
      <c r="I6" s="26">
        <f t="shared" si="3"/>
        <v>0</v>
      </c>
      <c r="J6" s="104">
        <f>I6+G6+D6+C6+B6</f>
        <v>3</v>
      </c>
      <c r="K6" s="104">
        <f t="shared" ref="K6" si="9">E6+F6+H6</f>
        <v>3</v>
      </c>
      <c r="L6" s="104">
        <f t="shared" si="5"/>
        <v>0</v>
      </c>
      <c r="M6" s="32">
        <v>6</v>
      </c>
      <c r="N6" s="33">
        <v>3</v>
      </c>
      <c r="O6">
        <f t="shared" si="8"/>
        <v>3</v>
      </c>
      <c r="P6">
        <f t="shared" ref="P5:P17" si="10">N6-K6</f>
        <v>0</v>
      </c>
    </row>
    <row r="7" spans="1:17">
      <c r="A7" s="4" t="s">
        <v>17</v>
      </c>
      <c r="B7" s="26">
        <f t="shared" si="2"/>
        <v>7</v>
      </c>
      <c r="C7" s="26">
        <f t="shared" si="2"/>
        <v>6</v>
      </c>
      <c r="D7" s="26">
        <f t="shared" ref="C5:D17" si="11">SUM(D26,D45)</f>
        <v>4</v>
      </c>
      <c r="E7" s="26">
        <f t="shared" si="0"/>
        <v>6</v>
      </c>
      <c r="F7" s="26">
        <f t="shared" ref="F5:F17" si="12">SUM(F26,F45)</f>
        <v>4</v>
      </c>
      <c r="G7" s="26">
        <f>SUM(G26,G45)</f>
        <v>3</v>
      </c>
      <c r="H7" s="26">
        <f t="shared" si="3"/>
        <v>2</v>
      </c>
      <c r="I7" s="26">
        <f t="shared" si="3"/>
        <v>1</v>
      </c>
      <c r="J7" s="104">
        <f t="shared" ref="J7:J16" si="13">I7+G7+D7+C7+B7</f>
        <v>21</v>
      </c>
      <c r="K7" s="104">
        <f t="shared" si="4"/>
        <v>12</v>
      </c>
      <c r="L7" s="104">
        <f t="shared" si="5"/>
        <v>1</v>
      </c>
      <c r="M7" s="34">
        <v>25</v>
      </c>
      <c r="N7" s="35">
        <v>14</v>
      </c>
      <c r="O7">
        <f>M7-J7</f>
        <v>4</v>
      </c>
      <c r="P7">
        <f>N7-K7</f>
        <v>2</v>
      </c>
    </row>
    <row r="8" spans="1:17">
      <c r="A8" s="4" t="s">
        <v>20</v>
      </c>
      <c r="B8" s="26">
        <f t="shared" si="2"/>
        <v>4</v>
      </c>
      <c r="C8" s="26">
        <f t="shared" si="2"/>
        <v>5</v>
      </c>
      <c r="D8" s="26">
        <f t="shared" si="11"/>
        <v>2</v>
      </c>
      <c r="E8" s="26">
        <f t="shared" si="0"/>
        <v>3</v>
      </c>
      <c r="F8" s="26">
        <f t="shared" si="12"/>
        <v>2</v>
      </c>
      <c r="G8" s="26">
        <f>SUM(G27,G46)</f>
        <v>3</v>
      </c>
      <c r="H8" s="26">
        <f t="shared" si="3"/>
        <v>2</v>
      </c>
      <c r="I8" s="26">
        <v>2</v>
      </c>
      <c r="J8" s="104">
        <f t="shared" si="13"/>
        <v>16</v>
      </c>
      <c r="K8" s="104">
        <f t="shared" si="4"/>
        <v>7</v>
      </c>
      <c r="L8" s="104">
        <f t="shared" si="5"/>
        <v>1</v>
      </c>
      <c r="M8" s="36">
        <v>15</v>
      </c>
      <c r="N8" s="37">
        <v>7</v>
      </c>
      <c r="O8" s="156">
        <f t="shared" si="8"/>
        <v>-1</v>
      </c>
      <c r="P8">
        <f t="shared" si="10"/>
        <v>0</v>
      </c>
      <c r="Q8" t="s">
        <v>86</v>
      </c>
    </row>
    <row r="9" spans="1:17">
      <c r="A9" s="4" t="s">
        <v>14</v>
      </c>
      <c r="B9" s="26">
        <f t="shared" si="2"/>
        <v>4</v>
      </c>
      <c r="C9" s="26">
        <f t="shared" si="2"/>
        <v>8</v>
      </c>
      <c r="D9" s="26">
        <f t="shared" si="11"/>
        <v>4</v>
      </c>
      <c r="E9" s="26">
        <f t="shared" si="0"/>
        <v>4</v>
      </c>
      <c r="F9" s="26">
        <f t="shared" si="12"/>
        <v>4</v>
      </c>
      <c r="G9" s="26">
        <f t="shared" si="7"/>
        <v>6</v>
      </c>
      <c r="H9" s="26">
        <f t="shared" si="3"/>
        <v>4</v>
      </c>
      <c r="I9" s="26">
        <f t="shared" si="3"/>
        <v>1</v>
      </c>
      <c r="J9" s="104">
        <f t="shared" si="13"/>
        <v>23</v>
      </c>
      <c r="K9" s="104">
        <f t="shared" ref="K9:K16" si="14">E9+F9+H9</f>
        <v>12</v>
      </c>
      <c r="L9" s="104">
        <f t="shared" si="5"/>
        <v>1</v>
      </c>
      <c r="M9" s="38">
        <v>28</v>
      </c>
      <c r="N9" s="39">
        <v>14</v>
      </c>
      <c r="O9">
        <f t="shared" si="8"/>
        <v>5</v>
      </c>
      <c r="P9">
        <f t="shared" si="10"/>
        <v>2</v>
      </c>
    </row>
    <row r="10" spans="1:17">
      <c r="A10" s="4" t="s">
        <v>18</v>
      </c>
      <c r="B10" s="26">
        <f t="shared" si="2"/>
        <v>3</v>
      </c>
      <c r="C10" s="26">
        <f t="shared" si="2"/>
        <v>5</v>
      </c>
      <c r="D10" s="26">
        <f t="shared" si="11"/>
        <v>3</v>
      </c>
      <c r="E10" s="26">
        <f t="shared" si="0"/>
        <v>4</v>
      </c>
      <c r="F10" s="26">
        <f t="shared" si="12"/>
        <v>4</v>
      </c>
      <c r="G10" s="26">
        <f t="shared" si="7"/>
        <v>7</v>
      </c>
      <c r="H10" s="26">
        <f t="shared" si="3"/>
        <v>5</v>
      </c>
      <c r="I10" s="26">
        <f t="shared" si="3"/>
        <v>0</v>
      </c>
      <c r="J10" s="104">
        <f t="shared" si="13"/>
        <v>18</v>
      </c>
      <c r="K10" s="104">
        <f t="shared" si="14"/>
        <v>13</v>
      </c>
      <c r="L10" s="104">
        <f t="shared" si="5"/>
        <v>1</v>
      </c>
      <c r="M10" s="40">
        <v>22</v>
      </c>
      <c r="N10" s="41">
        <v>14</v>
      </c>
      <c r="O10">
        <f t="shared" si="8"/>
        <v>4</v>
      </c>
      <c r="P10">
        <f t="shared" si="10"/>
        <v>1</v>
      </c>
    </row>
    <row r="11" spans="1:17">
      <c r="A11" s="4" t="s">
        <v>16</v>
      </c>
      <c r="B11" s="26">
        <f t="shared" si="2"/>
        <v>4</v>
      </c>
      <c r="C11" s="26">
        <f t="shared" si="2"/>
        <v>3</v>
      </c>
      <c r="D11" s="26">
        <f t="shared" si="11"/>
        <v>4</v>
      </c>
      <c r="E11" s="26">
        <f t="shared" si="0"/>
        <v>8</v>
      </c>
      <c r="F11" s="26">
        <f t="shared" si="12"/>
        <v>3</v>
      </c>
      <c r="G11" s="26">
        <f t="shared" si="7"/>
        <v>2</v>
      </c>
      <c r="H11" s="26">
        <f t="shared" si="3"/>
        <v>1</v>
      </c>
      <c r="I11" s="26">
        <f t="shared" si="3"/>
        <v>0</v>
      </c>
      <c r="J11" s="104">
        <f t="shared" si="13"/>
        <v>13</v>
      </c>
      <c r="K11" s="104">
        <f t="shared" si="14"/>
        <v>12</v>
      </c>
      <c r="L11" s="104">
        <f t="shared" si="5"/>
        <v>1</v>
      </c>
      <c r="M11" s="42">
        <v>17</v>
      </c>
      <c r="N11" s="43">
        <v>14</v>
      </c>
      <c r="O11">
        <f t="shared" si="8"/>
        <v>4</v>
      </c>
      <c r="P11">
        <f t="shared" si="10"/>
        <v>2</v>
      </c>
    </row>
    <row r="12" spans="1:17">
      <c r="A12" s="4" t="s">
        <v>26</v>
      </c>
      <c r="B12" s="26">
        <f t="shared" si="2"/>
        <v>4</v>
      </c>
      <c r="C12" s="26">
        <f t="shared" si="2"/>
        <v>3</v>
      </c>
      <c r="D12" s="26">
        <f t="shared" si="11"/>
        <v>3</v>
      </c>
      <c r="E12" s="26">
        <f t="shared" si="0"/>
        <v>2</v>
      </c>
      <c r="F12" s="26">
        <f t="shared" si="12"/>
        <v>4</v>
      </c>
      <c r="G12" s="26">
        <f t="shared" si="7"/>
        <v>2</v>
      </c>
      <c r="H12" s="26">
        <f t="shared" si="3"/>
        <v>2</v>
      </c>
      <c r="I12" s="26">
        <f t="shared" si="3"/>
        <v>0</v>
      </c>
      <c r="J12" s="104">
        <f t="shared" si="13"/>
        <v>12</v>
      </c>
      <c r="K12" s="104">
        <f>E12+F12+H12</f>
        <v>8</v>
      </c>
      <c r="L12" s="104">
        <f t="shared" si="5"/>
        <v>0</v>
      </c>
      <c r="M12" s="44">
        <v>16</v>
      </c>
      <c r="N12" s="45">
        <v>8</v>
      </c>
      <c r="O12">
        <f t="shared" si="8"/>
        <v>4</v>
      </c>
      <c r="P12">
        <f t="shared" si="10"/>
        <v>0</v>
      </c>
      <c r="Q12" t="s">
        <v>87</v>
      </c>
    </row>
    <row r="13" spans="1:17">
      <c r="A13" s="4" t="s">
        <v>22</v>
      </c>
      <c r="B13" s="26">
        <f t="shared" si="2"/>
        <v>3</v>
      </c>
      <c r="C13" s="26">
        <f t="shared" si="2"/>
        <v>2</v>
      </c>
      <c r="D13" s="26">
        <f t="shared" si="11"/>
        <v>4</v>
      </c>
      <c r="E13" s="26">
        <f t="shared" si="0"/>
        <v>4</v>
      </c>
      <c r="F13" s="26">
        <f t="shared" si="12"/>
        <v>3</v>
      </c>
      <c r="G13" s="26">
        <f t="shared" si="7"/>
        <v>3</v>
      </c>
      <c r="H13" s="26">
        <f>SUM(H32,H51)</f>
        <v>6</v>
      </c>
      <c r="I13" s="26">
        <f t="shared" si="3"/>
        <v>1</v>
      </c>
      <c r="J13" s="104">
        <f t="shared" si="13"/>
        <v>13</v>
      </c>
      <c r="K13" s="104">
        <f t="shared" si="14"/>
        <v>13</v>
      </c>
      <c r="L13" s="104">
        <f t="shared" si="5"/>
        <v>1</v>
      </c>
      <c r="M13" s="46">
        <v>14</v>
      </c>
      <c r="N13" s="47">
        <v>14</v>
      </c>
      <c r="O13">
        <f t="shared" si="8"/>
        <v>1</v>
      </c>
      <c r="P13">
        <f t="shared" si="10"/>
        <v>1</v>
      </c>
    </row>
    <row r="14" spans="1:17">
      <c r="A14" s="4" t="s">
        <v>19</v>
      </c>
      <c r="B14" s="26">
        <f t="shared" si="2"/>
        <v>5</v>
      </c>
      <c r="C14" s="26">
        <f t="shared" si="2"/>
        <v>6</v>
      </c>
      <c r="D14" s="26">
        <f t="shared" si="11"/>
        <v>0</v>
      </c>
      <c r="E14" s="26">
        <f t="shared" si="0"/>
        <v>5</v>
      </c>
      <c r="F14" s="26">
        <f t="shared" si="12"/>
        <v>0</v>
      </c>
      <c r="G14" s="26">
        <f t="shared" si="7"/>
        <v>4</v>
      </c>
      <c r="H14" s="26">
        <f t="shared" si="3"/>
        <v>6</v>
      </c>
      <c r="I14" s="26">
        <f t="shared" si="3"/>
        <v>0</v>
      </c>
      <c r="J14" s="104">
        <f t="shared" si="13"/>
        <v>15</v>
      </c>
      <c r="K14" s="104">
        <f t="shared" si="14"/>
        <v>11</v>
      </c>
      <c r="L14" s="104">
        <f t="shared" si="5"/>
        <v>1</v>
      </c>
      <c r="M14" s="48">
        <v>19</v>
      </c>
      <c r="N14" s="49">
        <v>12</v>
      </c>
      <c r="O14">
        <f t="shared" si="8"/>
        <v>4</v>
      </c>
      <c r="P14">
        <f t="shared" si="10"/>
        <v>1</v>
      </c>
    </row>
    <row r="15" spans="1:17">
      <c r="A15" s="4" t="s">
        <v>27</v>
      </c>
      <c r="B15" s="26">
        <f t="shared" si="2"/>
        <v>3</v>
      </c>
      <c r="C15" s="26">
        <f t="shared" si="2"/>
        <v>3</v>
      </c>
      <c r="D15" s="26">
        <f t="shared" si="11"/>
        <v>0</v>
      </c>
      <c r="E15" s="26">
        <f t="shared" si="0"/>
        <v>7</v>
      </c>
      <c r="F15" s="26">
        <f t="shared" si="12"/>
        <v>0</v>
      </c>
      <c r="G15" s="26">
        <f t="shared" si="7"/>
        <v>4</v>
      </c>
      <c r="H15" s="26">
        <f t="shared" si="3"/>
        <v>4</v>
      </c>
      <c r="I15" s="26">
        <f t="shared" si="3"/>
        <v>1</v>
      </c>
      <c r="J15" s="104">
        <f t="shared" si="13"/>
        <v>11</v>
      </c>
      <c r="K15" s="104">
        <f t="shared" si="14"/>
        <v>11</v>
      </c>
      <c r="L15" s="104">
        <f t="shared" si="5"/>
        <v>1</v>
      </c>
      <c r="M15" s="50">
        <v>13</v>
      </c>
      <c r="N15" s="51">
        <v>12</v>
      </c>
      <c r="O15">
        <f t="shared" si="8"/>
        <v>2</v>
      </c>
      <c r="P15">
        <f t="shared" si="10"/>
        <v>1</v>
      </c>
      <c r="Q15" t="s">
        <v>88</v>
      </c>
    </row>
    <row r="16" spans="1:17">
      <c r="A16" s="4" t="s">
        <v>89</v>
      </c>
      <c r="B16" s="26">
        <f t="shared" si="2"/>
        <v>6</v>
      </c>
      <c r="C16" s="26">
        <f t="shared" si="2"/>
        <v>5</v>
      </c>
      <c r="D16" s="26">
        <f t="shared" si="11"/>
        <v>4</v>
      </c>
      <c r="E16" s="26">
        <f t="shared" si="0"/>
        <v>3</v>
      </c>
      <c r="F16" s="26">
        <f t="shared" si="12"/>
        <v>4</v>
      </c>
      <c r="G16" s="26">
        <f>SUM(G35,G54)</f>
        <v>7</v>
      </c>
      <c r="H16" s="26">
        <f t="shared" si="3"/>
        <v>5</v>
      </c>
      <c r="I16" s="26">
        <f t="shared" si="3"/>
        <v>0</v>
      </c>
      <c r="J16" s="104">
        <f t="shared" si="13"/>
        <v>22</v>
      </c>
      <c r="K16" s="104">
        <f>E16+F16+H16</f>
        <v>12</v>
      </c>
      <c r="L16" s="104">
        <f t="shared" si="5"/>
        <v>0</v>
      </c>
      <c r="M16" s="52">
        <v>28</v>
      </c>
      <c r="N16" s="53">
        <v>14</v>
      </c>
      <c r="O16">
        <f t="shared" si="8"/>
        <v>6</v>
      </c>
      <c r="P16">
        <f>N16-K16</f>
        <v>2</v>
      </c>
    </row>
    <row r="17" spans="1:18">
      <c r="A17" s="4" t="s">
        <v>90</v>
      </c>
      <c r="B17" s="26">
        <f t="shared" si="2"/>
        <v>2</v>
      </c>
      <c r="C17" s="26">
        <f t="shared" si="2"/>
        <v>1</v>
      </c>
      <c r="D17" s="26">
        <f t="shared" si="11"/>
        <v>2</v>
      </c>
      <c r="E17" s="26">
        <f t="shared" si="0"/>
        <v>1</v>
      </c>
      <c r="F17" s="26">
        <f t="shared" si="12"/>
        <v>2</v>
      </c>
      <c r="G17" s="26">
        <f t="shared" si="7"/>
        <v>3</v>
      </c>
      <c r="H17" s="26">
        <f t="shared" si="3"/>
        <v>3</v>
      </c>
      <c r="I17" s="26">
        <f t="shared" si="3"/>
        <v>0</v>
      </c>
      <c r="J17" s="104">
        <f t="shared" ref="J17" si="15">I17+G17+D17+C17+B17</f>
        <v>8</v>
      </c>
      <c r="K17" s="104">
        <f t="shared" ref="K17" si="16">E17+F17+H17</f>
        <v>6</v>
      </c>
      <c r="L17" s="104">
        <f t="shared" si="5"/>
        <v>0</v>
      </c>
      <c r="M17" s="52">
        <v>12</v>
      </c>
      <c r="N17" s="53">
        <v>6</v>
      </c>
      <c r="O17">
        <f t="shared" si="8"/>
        <v>4</v>
      </c>
      <c r="P17">
        <f t="shared" si="10"/>
        <v>0</v>
      </c>
    </row>
    <row r="18" spans="1:18">
      <c r="A18" s="20"/>
      <c r="B18" s="54"/>
      <c r="C18" s="54"/>
      <c r="D18" s="54"/>
      <c r="E18" s="54"/>
      <c r="F18" s="54"/>
      <c r="G18" s="54"/>
      <c r="H18" s="54"/>
      <c r="I18" s="54"/>
      <c r="J18" s="55"/>
      <c r="K18" s="55"/>
      <c r="L18" s="55"/>
      <c r="M18" s="52"/>
      <c r="N18" s="53"/>
    </row>
    <row r="19" spans="1:18">
      <c r="B19" s="54"/>
      <c r="C19" s="54"/>
      <c r="D19" s="54"/>
      <c r="E19" s="54"/>
      <c r="F19" s="54"/>
      <c r="G19" s="54"/>
      <c r="H19" s="54"/>
      <c r="I19" s="54"/>
      <c r="J19" s="55"/>
      <c r="K19" s="55"/>
      <c r="L19" s="55"/>
      <c r="M19" s="52">
        <f>SUM(M3:M16)</f>
        <v>234</v>
      </c>
      <c r="N19" s="52">
        <f>SUM(N3:N16)</f>
        <v>142</v>
      </c>
    </row>
    <row r="20" spans="1:18">
      <c r="A20" s="22" t="s">
        <v>91</v>
      </c>
    </row>
    <row r="21" spans="1:18">
      <c r="A21" s="13" t="s">
        <v>73</v>
      </c>
      <c r="B21" s="14" t="s">
        <v>74</v>
      </c>
      <c r="C21" s="14" t="s">
        <v>2</v>
      </c>
      <c r="D21" s="14" t="s">
        <v>75</v>
      </c>
      <c r="E21" s="14" t="s">
        <v>76</v>
      </c>
      <c r="F21" s="111" t="s">
        <v>77</v>
      </c>
      <c r="G21" s="14" t="s">
        <v>3</v>
      </c>
      <c r="H21" s="14" t="s">
        <v>78</v>
      </c>
      <c r="I21" s="14" t="s">
        <v>79</v>
      </c>
      <c r="J21" s="113" t="s">
        <v>80</v>
      </c>
      <c r="K21" s="113" t="s">
        <v>81</v>
      </c>
      <c r="L21" s="14" t="s">
        <v>7</v>
      </c>
      <c r="M21" s="14" t="s">
        <v>82</v>
      </c>
      <c r="N21" s="14" t="s">
        <v>83</v>
      </c>
      <c r="O21" s="14"/>
      <c r="R21" s="80"/>
    </row>
    <row r="22" spans="1:18">
      <c r="A22" s="4" t="s">
        <v>60</v>
      </c>
      <c r="B22" s="30">
        <v>0</v>
      </c>
      <c r="C22" s="30">
        <v>0</v>
      </c>
      <c r="D22" s="30">
        <v>0</v>
      </c>
      <c r="E22" s="30">
        <v>0</v>
      </c>
      <c r="F22" s="30">
        <v>0</v>
      </c>
      <c r="G22" s="30">
        <v>0</v>
      </c>
      <c r="H22" s="30">
        <v>0</v>
      </c>
      <c r="I22" s="30">
        <v>0</v>
      </c>
      <c r="J22" s="30">
        <v>0</v>
      </c>
      <c r="K22" s="30">
        <v>0</v>
      </c>
      <c r="L22" s="30">
        <v>0</v>
      </c>
      <c r="M22" s="114"/>
      <c r="N22" s="114"/>
      <c r="O22" s="109"/>
      <c r="R22" s="80"/>
    </row>
    <row r="23" spans="1:18">
      <c r="A23" s="4" t="s">
        <v>61</v>
      </c>
      <c r="B23" s="30">
        <v>0</v>
      </c>
      <c r="C23" s="30">
        <v>0</v>
      </c>
      <c r="D23" s="30">
        <v>0</v>
      </c>
      <c r="E23" s="30">
        <v>0</v>
      </c>
      <c r="F23" s="30">
        <v>0</v>
      </c>
      <c r="G23" s="30">
        <v>0</v>
      </c>
      <c r="H23" s="30">
        <v>0</v>
      </c>
      <c r="I23" s="30">
        <v>0</v>
      </c>
      <c r="J23" s="30">
        <v>0</v>
      </c>
      <c r="K23" s="30">
        <v>0</v>
      </c>
      <c r="L23" s="30">
        <v>0</v>
      </c>
      <c r="M23" s="114"/>
      <c r="N23" s="114"/>
      <c r="O23" s="109"/>
      <c r="R23" s="80"/>
    </row>
    <row r="24" spans="1:18">
      <c r="A24" s="4" t="s">
        <v>67</v>
      </c>
      <c r="B24" s="30">
        <v>0</v>
      </c>
      <c r="C24" s="30">
        <v>0</v>
      </c>
      <c r="D24" s="30">
        <v>0</v>
      </c>
      <c r="E24" s="30">
        <v>0</v>
      </c>
      <c r="F24" s="30">
        <v>0</v>
      </c>
      <c r="G24" s="30">
        <v>0</v>
      </c>
      <c r="H24" s="30">
        <v>0</v>
      </c>
      <c r="I24" s="30">
        <v>0</v>
      </c>
      <c r="J24" s="30">
        <v>0</v>
      </c>
      <c r="K24" s="30">
        <v>0</v>
      </c>
      <c r="L24" s="30">
        <v>0</v>
      </c>
      <c r="M24" s="114"/>
      <c r="N24" s="114"/>
      <c r="O24" s="109"/>
    </row>
    <row r="25" spans="1:18">
      <c r="A25" s="4" t="s">
        <v>65</v>
      </c>
      <c r="B25" s="26">
        <v>0</v>
      </c>
      <c r="C25" s="26">
        <v>0</v>
      </c>
      <c r="D25" s="26">
        <v>0</v>
      </c>
      <c r="E25" s="26">
        <v>0</v>
      </c>
      <c r="F25" s="26">
        <v>0</v>
      </c>
      <c r="G25" s="26">
        <v>0</v>
      </c>
      <c r="H25" s="26">
        <v>0</v>
      </c>
      <c r="I25" s="26">
        <v>0</v>
      </c>
      <c r="J25" s="26">
        <v>0</v>
      </c>
      <c r="K25" s="26">
        <v>0</v>
      </c>
      <c r="L25" s="26">
        <v>0</v>
      </c>
      <c r="M25" s="32"/>
      <c r="N25" s="33"/>
    </row>
    <row r="26" spans="1:18">
      <c r="A26" s="4" t="s">
        <v>17</v>
      </c>
      <c r="B26" s="26">
        <v>5</v>
      </c>
      <c r="C26" s="26">
        <v>3</v>
      </c>
      <c r="D26" s="26">
        <v>2</v>
      </c>
      <c r="E26" s="26">
        <v>3</v>
      </c>
      <c r="F26" s="26">
        <v>3</v>
      </c>
      <c r="G26" s="26">
        <v>1</v>
      </c>
      <c r="H26" s="30">
        <v>1</v>
      </c>
      <c r="I26" s="30">
        <v>1</v>
      </c>
      <c r="J26" s="104">
        <f>I26+G26+D26+C26+B26</f>
        <v>12</v>
      </c>
      <c r="K26" s="104">
        <f>E26+F26+H26</f>
        <v>7</v>
      </c>
      <c r="L26" s="104">
        <v>1</v>
      </c>
      <c r="M26" s="34">
        <v>25</v>
      </c>
      <c r="N26" s="35">
        <v>14</v>
      </c>
    </row>
    <row r="27" spans="1:18">
      <c r="A27" s="4" t="s">
        <v>20</v>
      </c>
      <c r="B27" s="26">
        <v>4</v>
      </c>
      <c r="C27" s="26">
        <v>5</v>
      </c>
      <c r="D27" s="26">
        <v>2</v>
      </c>
      <c r="E27" s="26">
        <v>3</v>
      </c>
      <c r="F27" s="26">
        <v>2</v>
      </c>
      <c r="G27" s="26">
        <v>3</v>
      </c>
      <c r="H27" s="30">
        <v>2</v>
      </c>
      <c r="I27" s="30">
        <v>1</v>
      </c>
      <c r="J27" s="104">
        <f t="shared" ref="J27:J34" si="17">I27+G27+D27+C27+B27</f>
        <v>15</v>
      </c>
      <c r="K27" s="104">
        <f>E27+F27+H27</f>
        <v>7</v>
      </c>
      <c r="L27" s="104">
        <v>1</v>
      </c>
      <c r="M27" s="36">
        <v>15</v>
      </c>
      <c r="N27" s="37">
        <v>7</v>
      </c>
      <c r="O27" t="s">
        <v>92</v>
      </c>
    </row>
    <row r="28" spans="1:18">
      <c r="A28" s="4" t="s">
        <v>14</v>
      </c>
      <c r="B28" s="26">
        <v>2</v>
      </c>
      <c r="C28" s="26">
        <v>5</v>
      </c>
      <c r="D28" s="26">
        <v>2</v>
      </c>
      <c r="E28" s="26">
        <v>3</v>
      </c>
      <c r="F28" s="26">
        <v>2</v>
      </c>
      <c r="G28" s="26">
        <v>4</v>
      </c>
      <c r="H28" s="30">
        <v>2</v>
      </c>
      <c r="I28" s="30">
        <v>1</v>
      </c>
      <c r="J28" s="104">
        <f t="shared" si="17"/>
        <v>14</v>
      </c>
      <c r="K28" s="104">
        <f t="shared" ref="K28:K35" si="18">E28+F28+H28</f>
        <v>7</v>
      </c>
      <c r="L28" s="104">
        <v>1</v>
      </c>
      <c r="M28" s="38">
        <v>28</v>
      </c>
      <c r="N28" s="39">
        <v>14</v>
      </c>
    </row>
    <row r="29" spans="1:18">
      <c r="A29" s="4" t="s">
        <v>18</v>
      </c>
      <c r="B29" s="26">
        <v>1</v>
      </c>
      <c r="C29" s="26">
        <v>3</v>
      </c>
      <c r="D29" s="26">
        <v>3</v>
      </c>
      <c r="E29" s="26">
        <v>1</v>
      </c>
      <c r="F29" s="26">
        <v>4</v>
      </c>
      <c r="G29" s="26">
        <v>4</v>
      </c>
      <c r="H29" s="30">
        <v>3</v>
      </c>
      <c r="I29" s="30">
        <v>0</v>
      </c>
      <c r="J29" s="104">
        <f t="shared" si="17"/>
        <v>11</v>
      </c>
      <c r="K29" s="104">
        <f t="shared" si="18"/>
        <v>8</v>
      </c>
      <c r="L29" s="104">
        <v>1</v>
      </c>
      <c r="M29" s="40">
        <v>22</v>
      </c>
      <c r="N29" s="41">
        <v>14</v>
      </c>
    </row>
    <row r="30" spans="1:18">
      <c r="A30" s="4" t="s">
        <v>16</v>
      </c>
      <c r="B30" s="26">
        <v>2</v>
      </c>
      <c r="C30" s="26">
        <v>1</v>
      </c>
      <c r="D30" s="26">
        <v>4</v>
      </c>
      <c r="E30" s="26">
        <v>4</v>
      </c>
      <c r="F30" s="26">
        <v>3</v>
      </c>
      <c r="G30" s="26">
        <v>2</v>
      </c>
      <c r="H30" s="30">
        <v>1</v>
      </c>
      <c r="I30" s="30">
        <v>0</v>
      </c>
      <c r="J30" s="104">
        <f t="shared" si="17"/>
        <v>9</v>
      </c>
      <c r="K30" s="104">
        <f t="shared" si="18"/>
        <v>8</v>
      </c>
      <c r="L30" s="104">
        <v>1</v>
      </c>
      <c r="M30" s="42">
        <v>17</v>
      </c>
      <c r="N30" s="43">
        <v>14</v>
      </c>
    </row>
    <row r="31" spans="1:18">
      <c r="A31" s="4" t="s">
        <v>26</v>
      </c>
      <c r="B31" s="26">
        <v>3</v>
      </c>
      <c r="C31" s="26">
        <v>1</v>
      </c>
      <c r="D31" s="26">
        <v>1</v>
      </c>
      <c r="E31" s="26">
        <v>2</v>
      </c>
      <c r="F31" s="26">
        <v>2</v>
      </c>
      <c r="G31" s="26">
        <v>1</v>
      </c>
      <c r="H31" s="30">
        <v>1</v>
      </c>
      <c r="I31" s="30">
        <f t="shared" ref="I31" si="19">I64+I50</f>
        <v>0</v>
      </c>
      <c r="J31" s="117">
        <f t="shared" si="17"/>
        <v>6</v>
      </c>
      <c r="K31" s="104">
        <f>E31+F31+H31</f>
        <v>5</v>
      </c>
      <c r="L31" s="104">
        <v>0</v>
      </c>
      <c r="M31" s="44">
        <v>16</v>
      </c>
      <c r="N31" s="45">
        <v>8</v>
      </c>
    </row>
    <row r="32" spans="1:18">
      <c r="A32" s="4" t="s">
        <v>22</v>
      </c>
      <c r="B32" s="26">
        <v>2</v>
      </c>
      <c r="C32" s="26">
        <v>2</v>
      </c>
      <c r="D32" s="26">
        <v>2</v>
      </c>
      <c r="E32" s="26">
        <v>4</v>
      </c>
      <c r="F32" s="26">
        <v>2</v>
      </c>
      <c r="G32" s="26">
        <v>2</v>
      </c>
      <c r="H32" s="30">
        <v>3</v>
      </c>
      <c r="I32" s="30">
        <v>1</v>
      </c>
      <c r="J32" s="104">
        <f t="shared" si="17"/>
        <v>9</v>
      </c>
      <c r="K32" s="104">
        <f t="shared" si="18"/>
        <v>9</v>
      </c>
      <c r="L32" s="104">
        <v>1</v>
      </c>
      <c r="M32" s="46">
        <v>14</v>
      </c>
      <c r="N32" s="47">
        <v>14</v>
      </c>
    </row>
    <row r="33" spans="1:14">
      <c r="A33" s="4" t="s">
        <v>19</v>
      </c>
      <c r="B33" s="26">
        <v>3</v>
      </c>
      <c r="C33" s="26">
        <v>3</v>
      </c>
      <c r="D33" s="26">
        <v>0</v>
      </c>
      <c r="E33" s="26">
        <v>3</v>
      </c>
      <c r="F33" s="26">
        <f>F66+F52</f>
        <v>0</v>
      </c>
      <c r="G33" s="26">
        <v>2</v>
      </c>
      <c r="H33" s="30">
        <v>4</v>
      </c>
      <c r="I33" s="30">
        <v>0</v>
      </c>
      <c r="J33" s="104">
        <f t="shared" si="17"/>
        <v>8</v>
      </c>
      <c r="K33" s="104">
        <f t="shared" si="18"/>
        <v>7</v>
      </c>
      <c r="L33" s="104">
        <v>1</v>
      </c>
      <c r="M33" s="48">
        <v>19</v>
      </c>
      <c r="N33" s="49">
        <v>12</v>
      </c>
    </row>
    <row r="34" spans="1:14">
      <c r="A34" s="4" t="s">
        <v>27</v>
      </c>
      <c r="B34" s="26">
        <v>2</v>
      </c>
      <c r="C34" s="26">
        <v>2</v>
      </c>
      <c r="D34" s="26">
        <v>0</v>
      </c>
      <c r="E34" s="26">
        <v>3</v>
      </c>
      <c r="F34" s="26">
        <v>0</v>
      </c>
      <c r="G34" s="26">
        <v>2</v>
      </c>
      <c r="H34" s="26">
        <v>1</v>
      </c>
      <c r="I34" s="26">
        <v>1</v>
      </c>
      <c r="J34" s="104">
        <f t="shared" si="17"/>
        <v>7</v>
      </c>
      <c r="K34" s="104">
        <f t="shared" si="18"/>
        <v>4</v>
      </c>
      <c r="L34" s="104">
        <v>1</v>
      </c>
      <c r="M34" s="50">
        <v>15</v>
      </c>
      <c r="N34" s="51">
        <v>12</v>
      </c>
    </row>
    <row r="35" spans="1:14">
      <c r="A35" s="4" t="s">
        <v>89</v>
      </c>
      <c r="B35" s="26">
        <v>4</v>
      </c>
      <c r="C35" s="26">
        <v>3</v>
      </c>
      <c r="D35" s="26">
        <v>3</v>
      </c>
      <c r="E35" s="26">
        <v>1</v>
      </c>
      <c r="F35" s="26">
        <v>3</v>
      </c>
      <c r="G35" s="26">
        <v>3</v>
      </c>
      <c r="H35" s="26">
        <v>4</v>
      </c>
      <c r="I35" s="26">
        <v>0</v>
      </c>
      <c r="J35" s="104">
        <f>I35+G35+D35+C35+B35</f>
        <v>13</v>
      </c>
      <c r="K35" s="104">
        <f t="shared" si="18"/>
        <v>8</v>
      </c>
      <c r="L35" s="104">
        <v>0</v>
      </c>
      <c r="M35" s="52">
        <v>28</v>
      </c>
      <c r="N35" s="53">
        <v>14</v>
      </c>
    </row>
    <row r="36" spans="1:14">
      <c r="A36" s="4" t="s">
        <v>90</v>
      </c>
      <c r="B36" s="26">
        <v>0</v>
      </c>
      <c r="C36" s="26">
        <v>0</v>
      </c>
      <c r="D36" s="26">
        <v>0</v>
      </c>
      <c r="E36" s="26">
        <v>0</v>
      </c>
      <c r="F36" s="26">
        <v>0</v>
      </c>
      <c r="G36" s="26">
        <v>0</v>
      </c>
      <c r="H36" s="26">
        <v>0</v>
      </c>
      <c r="I36" s="26">
        <v>0</v>
      </c>
      <c r="J36" s="104">
        <f t="shared" ref="J36" si="20">I36+G36+D36+C36+B36</f>
        <v>0</v>
      </c>
      <c r="K36" s="104">
        <f t="shared" ref="K36" si="21">E36+F36+H36</f>
        <v>0</v>
      </c>
      <c r="L36" s="104">
        <v>0</v>
      </c>
      <c r="M36" s="52">
        <v>14</v>
      </c>
      <c r="N36" s="53">
        <v>7</v>
      </c>
    </row>
    <row r="37" spans="1:14">
      <c r="B37" s="54"/>
      <c r="C37" s="54"/>
      <c r="D37" s="54"/>
      <c r="E37" s="54"/>
      <c r="F37" s="54"/>
      <c r="G37" s="54"/>
      <c r="H37" s="54"/>
      <c r="I37" s="54"/>
      <c r="J37" s="55"/>
      <c r="K37" s="55"/>
      <c r="L37" s="55"/>
      <c r="M37" s="52"/>
      <c r="N37" s="53"/>
    </row>
    <row r="38" spans="1:14">
      <c r="M38" s="52">
        <f>SUM(M25:M36)</f>
        <v>213</v>
      </c>
      <c r="N38" s="52">
        <f>SUM(N25:N36)</f>
        <v>130</v>
      </c>
    </row>
    <row r="39" spans="1:14">
      <c r="A39" s="22" t="s">
        <v>93</v>
      </c>
    </row>
    <row r="40" spans="1:14">
      <c r="A40" s="23" t="s">
        <v>73</v>
      </c>
      <c r="B40" s="111" t="s">
        <v>74</v>
      </c>
      <c r="C40" s="111" t="s">
        <v>2</v>
      </c>
      <c r="D40" s="14" t="s">
        <v>75</v>
      </c>
      <c r="E40" s="111" t="s">
        <v>76</v>
      </c>
      <c r="F40" s="111" t="s">
        <v>77</v>
      </c>
      <c r="G40" s="111" t="s">
        <v>3</v>
      </c>
      <c r="H40" s="111" t="s">
        <v>78</v>
      </c>
      <c r="I40" s="111" t="s">
        <v>79</v>
      </c>
      <c r="J40" s="112" t="s">
        <v>80</v>
      </c>
      <c r="K40" s="113" t="s">
        <v>81</v>
      </c>
      <c r="L40" s="14" t="s">
        <v>7</v>
      </c>
    </row>
    <row r="41" spans="1:14">
      <c r="A41" s="4" t="s">
        <v>60</v>
      </c>
      <c r="B41" s="30">
        <v>1</v>
      </c>
      <c r="C41" s="30">
        <v>3</v>
      </c>
      <c r="D41" s="30">
        <v>2</v>
      </c>
      <c r="E41" s="30">
        <v>1</v>
      </c>
      <c r="F41" s="30">
        <v>2</v>
      </c>
      <c r="G41" s="30">
        <v>2</v>
      </c>
      <c r="H41" s="30">
        <v>2</v>
      </c>
      <c r="I41" s="30">
        <v>0</v>
      </c>
      <c r="J41" s="30"/>
      <c r="K41" s="118"/>
      <c r="L41" s="30"/>
      <c r="M41" s="114">
        <v>12</v>
      </c>
      <c r="N41" s="114">
        <v>6</v>
      </c>
    </row>
    <row r="42" spans="1:14">
      <c r="A42" s="4" t="s">
        <v>61</v>
      </c>
      <c r="B42" s="26">
        <v>3</v>
      </c>
      <c r="C42" s="30">
        <v>1</v>
      </c>
      <c r="D42" s="30">
        <v>2</v>
      </c>
      <c r="E42" s="30">
        <v>2</v>
      </c>
      <c r="F42" s="30">
        <v>2</v>
      </c>
      <c r="G42" s="30">
        <v>2</v>
      </c>
      <c r="H42" s="30">
        <v>2</v>
      </c>
      <c r="I42" s="30">
        <v>0</v>
      </c>
      <c r="J42" s="30"/>
      <c r="K42" s="118"/>
      <c r="L42" s="30"/>
      <c r="M42" s="114">
        <v>12</v>
      </c>
      <c r="N42" s="114">
        <v>6</v>
      </c>
    </row>
    <row r="43" spans="1:14">
      <c r="A43" s="4" t="s">
        <v>67</v>
      </c>
      <c r="B43" s="26">
        <v>1</v>
      </c>
      <c r="C43" s="30">
        <v>2</v>
      </c>
      <c r="D43" s="30">
        <v>1</v>
      </c>
      <c r="E43" s="30">
        <v>1</v>
      </c>
      <c r="F43" s="30">
        <v>1</v>
      </c>
      <c r="G43" s="30">
        <v>0</v>
      </c>
      <c r="H43" s="30">
        <v>0</v>
      </c>
      <c r="I43" s="30">
        <v>0</v>
      </c>
      <c r="J43" s="30"/>
      <c r="K43" s="118"/>
      <c r="L43" s="30"/>
      <c r="M43" s="114">
        <v>7</v>
      </c>
      <c r="N43" s="114">
        <v>4</v>
      </c>
    </row>
    <row r="44" spans="1:14">
      <c r="A44" s="4" t="s">
        <v>65</v>
      </c>
      <c r="B44" s="115">
        <v>1</v>
      </c>
      <c r="C44" s="115">
        <v>1</v>
      </c>
      <c r="D44" s="115">
        <v>0</v>
      </c>
      <c r="E44" s="115">
        <v>1</v>
      </c>
      <c r="F44" s="115">
        <v>0</v>
      </c>
      <c r="G44" s="115">
        <v>1</v>
      </c>
      <c r="H44" s="115">
        <v>2</v>
      </c>
      <c r="I44" s="30">
        <v>0</v>
      </c>
      <c r="J44" s="116"/>
      <c r="K44" s="119"/>
      <c r="L44" s="123"/>
      <c r="M44" s="32">
        <v>6</v>
      </c>
      <c r="N44" s="33">
        <v>3</v>
      </c>
    </row>
    <row r="45" spans="1:14">
      <c r="A45" s="4" t="s">
        <v>17</v>
      </c>
      <c r="B45" s="26">
        <v>2</v>
      </c>
      <c r="C45" s="26">
        <v>3</v>
      </c>
      <c r="D45" s="26">
        <v>2</v>
      </c>
      <c r="E45" s="26">
        <v>3</v>
      </c>
      <c r="F45" s="26">
        <v>1</v>
      </c>
      <c r="G45" s="26">
        <v>2</v>
      </c>
      <c r="H45" s="26">
        <v>1</v>
      </c>
      <c r="I45" s="26">
        <v>0</v>
      </c>
      <c r="J45" s="27">
        <f t="shared" ref="J45:J58" si="22">SUM(B45,C45,G45,I45,D45)</f>
        <v>9</v>
      </c>
      <c r="K45" s="120">
        <f t="shared" ref="K45:K58" si="23">SUM(E45,H45,F45)</f>
        <v>5</v>
      </c>
      <c r="L45" s="123"/>
      <c r="M45" s="34">
        <v>25</v>
      </c>
      <c r="N45" s="35">
        <v>14</v>
      </c>
    </row>
    <row r="46" spans="1:14">
      <c r="A46" s="4" t="s">
        <v>20</v>
      </c>
      <c r="B46" s="26">
        <v>0</v>
      </c>
      <c r="C46" s="26">
        <v>0</v>
      </c>
      <c r="D46" s="26">
        <v>0</v>
      </c>
      <c r="E46" s="26">
        <v>0</v>
      </c>
      <c r="F46" s="26">
        <v>0</v>
      </c>
      <c r="G46" s="26">
        <v>0</v>
      </c>
      <c r="H46" s="26">
        <v>0</v>
      </c>
      <c r="I46" s="26">
        <v>0</v>
      </c>
      <c r="J46" s="27">
        <f t="shared" si="22"/>
        <v>0</v>
      </c>
      <c r="K46" s="120">
        <f t="shared" si="23"/>
        <v>0</v>
      </c>
      <c r="L46" s="123"/>
      <c r="M46" s="36">
        <v>13</v>
      </c>
      <c r="N46" s="37">
        <v>6</v>
      </c>
    </row>
    <row r="47" spans="1:14">
      <c r="A47" s="4" t="s">
        <v>14</v>
      </c>
      <c r="B47" s="26">
        <v>2</v>
      </c>
      <c r="C47" s="26">
        <v>3</v>
      </c>
      <c r="D47" s="26">
        <v>2</v>
      </c>
      <c r="E47" s="26">
        <v>1</v>
      </c>
      <c r="F47" s="26">
        <v>2</v>
      </c>
      <c r="G47" s="26">
        <v>2</v>
      </c>
      <c r="H47" s="26">
        <v>2</v>
      </c>
      <c r="I47" s="26">
        <v>0</v>
      </c>
      <c r="J47" s="27">
        <f t="shared" si="22"/>
        <v>9</v>
      </c>
      <c r="K47" s="120">
        <f t="shared" si="23"/>
        <v>5</v>
      </c>
      <c r="L47" s="123"/>
      <c r="M47" s="38">
        <v>28</v>
      </c>
      <c r="N47" s="39">
        <v>14</v>
      </c>
    </row>
    <row r="48" spans="1:14">
      <c r="A48" s="4" t="s">
        <v>18</v>
      </c>
      <c r="B48" s="26">
        <v>2</v>
      </c>
      <c r="C48" s="26">
        <v>2</v>
      </c>
      <c r="D48" s="26">
        <v>0</v>
      </c>
      <c r="E48" s="26">
        <v>3</v>
      </c>
      <c r="F48" s="26">
        <v>0</v>
      </c>
      <c r="G48" s="26">
        <v>3</v>
      </c>
      <c r="H48" s="26">
        <v>2</v>
      </c>
      <c r="I48" s="26">
        <v>0</v>
      </c>
      <c r="J48" s="27">
        <f t="shared" si="22"/>
        <v>7</v>
      </c>
      <c r="K48" s="120">
        <f t="shared" si="23"/>
        <v>5</v>
      </c>
      <c r="L48" s="123"/>
      <c r="M48" s="40">
        <v>22</v>
      </c>
      <c r="N48" s="41">
        <v>14</v>
      </c>
    </row>
    <row r="49" spans="1:15">
      <c r="A49" s="4" t="s">
        <v>16</v>
      </c>
      <c r="B49" s="26">
        <v>2</v>
      </c>
      <c r="C49" s="26">
        <v>2</v>
      </c>
      <c r="D49" s="26">
        <v>0</v>
      </c>
      <c r="E49" s="26">
        <v>4</v>
      </c>
      <c r="F49" s="26">
        <v>0</v>
      </c>
      <c r="G49" s="26">
        <v>0</v>
      </c>
      <c r="H49" s="26">
        <v>0</v>
      </c>
      <c r="I49" s="26">
        <v>0</v>
      </c>
      <c r="J49" s="27">
        <f t="shared" si="22"/>
        <v>4</v>
      </c>
      <c r="K49" s="120">
        <f t="shared" si="23"/>
        <v>4</v>
      </c>
      <c r="L49" s="123"/>
      <c r="M49" s="42">
        <v>17</v>
      </c>
      <c r="N49" s="43">
        <v>14</v>
      </c>
    </row>
    <row r="50" spans="1:15">
      <c r="A50" s="4" t="s">
        <v>26</v>
      </c>
      <c r="B50" s="26">
        <v>1</v>
      </c>
      <c r="C50" s="26">
        <v>2</v>
      </c>
      <c r="D50" s="26">
        <v>2</v>
      </c>
      <c r="E50" s="26">
        <v>0</v>
      </c>
      <c r="F50" s="26">
        <v>2</v>
      </c>
      <c r="G50" s="26">
        <v>1</v>
      </c>
      <c r="H50" s="26">
        <v>1</v>
      </c>
      <c r="I50" s="26">
        <v>0</v>
      </c>
      <c r="J50" s="27">
        <f t="shared" si="22"/>
        <v>6</v>
      </c>
      <c r="K50" s="120">
        <f t="shared" si="23"/>
        <v>3</v>
      </c>
      <c r="L50" s="123"/>
      <c r="M50" s="44">
        <v>16</v>
      </c>
      <c r="N50" s="45">
        <v>8</v>
      </c>
    </row>
    <row r="51" spans="1:15">
      <c r="A51" s="4" t="s">
        <v>22</v>
      </c>
      <c r="B51" s="26">
        <v>1</v>
      </c>
      <c r="C51" s="26">
        <v>0</v>
      </c>
      <c r="D51" s="26">
        <v>2</v>
      </c>
      <c r="E51" s="26">
        <v>0</v>
      </c>
      <c r="F51" s="26">
        <v>1</v>
      </c>
      <c r="G51" s="26">
        <v>1</v>
      </c>
      <c r="H51" s="26">
        <v>3</v>
      </c>
      <c r="I51" s="26">
        <v>0</v>
      </c>
      <c r="J51" s="27">
        <f t="shared" si="22"/>
        <v>4</v>
      </c>
      <c r="K51" s="120">
        <f t="shared" si="23"/>
        <v>4</v>
      </c>
      <c r="L51" s="123"/>
      <c r="M51" s="46">
        <v>14</v>
      </c>
      <c r="N51" s="47">
        <v>14</v>
      </c>
    </row>
    <row r="52" spans="1:15">
      <c r="A52" s="4" t="s">
        <v>19</v>
      </c>
      <c r="B52" s="26">
        <v>2</v>
      </c>
      <c r="C52" s="26">
        <v>3</v>
      </c>
      <c r="D52" s="26">
        <v>0</v>
      </c>
      <c r="E52" s="26">
        <v>2</v>
      </c>
      <c r="F52" s="26">
        <v>0</v>
      </c>
      <c r="G52" s="26">
        <v>2</v>
      </c>
      <c r="H52" s="26">
        <v>2</v>
      </c>
      <c r="I52" s="26">
        <v>0</v>
      </c>
      <c r="J52" s="27">
        <f t="shared" si="22"/>
        <v>7</v>
      </c>
      <c r="K52" s="120">
        <f t="shared" si="23"/>
        <v>4</v>
      </c>
      <c r="L52" s="123"/>
      <c r="M52" s="48">
        <v>19</v>
      </c>
      <c r="N52" s="49">
        <v>12</v>
      </c>
    </row>
    <row r="53" spans="1:15">
      <c r="A53" s="4" t="s">
        <v>27</v>
      </c>
      <c r="B53" s="26">
        <v>1</v>
      </c>
      <c r="C53" s="26">
        <v>1</v>
      </c>
      <c r="D53" s="26">
        <v>0</v>
      </c>
      <c r="E53" s="26">
        <v>4</v>
      </c>
      <c r="F53" s="26">
        <v>0</v>
      </c>
      <c r="G53" s="26">
        <v>2</v>
      </c>
      <c r="H53" s="26">
        <v>3</v>
      </c>
      <c r="I53" s="26">
        <v>0</v>
      </c>
      <c r="J53" s="27">
        <f t="shared" si="22"/>
        <v>4</v>
      </c>
      <c r="K53" s="120">
        <f t="shared" si="23"/>
        <v>7</v>
      </c>
      <c r="L53" s="123"/>
      <c r="M53" s="50">
        <v>13</v>
      </c>
      <c r="N53" s="51">
        <v>12</v>
      </c>
    </row>
    <row r="54" spans="1:15">
      <c r="A54" s="106" t="s">
        <v>89</v>
      </c>
      <c r="B54" s="107">
        <v>2</v>
      </c>
      <c r="C54" s="107">
        <v>2</v>
      </c>
      <c r="D54" s="107">
        <v>1</v>
      </c>
      <c r="E54" s="107">
        <v>2</v>
      </c>
      <c r="F54" s="107">
        <v>1</v>
      </c>
      <c r="G54" s="107">
        <v>4</v>
      </c>
      <c r="H54" s="107">
        <v>1</v>
      </c>
      <c r="I54" s="107">
        <v>0</v>
      </c>
      <c r="J54" s="108">
        <f>SUM(B54,C54,G54,I54,D54)</f>
        <v>9</v>
      </c>
      <c r="K54" s="121">
        <f t="shared" si="23"/>
        <v>4</v>
      </c>
      <c r="L54" s="123"/>
      <c r="M54" s="52">
        <v>28</v>
      </c>
      <c r="N54" s="53">
        <v>14</v>
      </c>
    </row>
    <row r="55" spans="1:15">
      <c r="A55" s="4" t="s">
        <v>90</v>
      </c>
      <c r="B55" s="30">
        <v>2</v>
      </c>
      <c r="C55" s="30">
        <v>1</v>
      </c>
      <c r="D55" s="30">
        <v>2</v>
      </c>
      <c r="E55" s="30">
        <v>1</v>
      </c>
      <c r="F55" s="30">
        <v>2</v>
      </c>
      <c r="G55" s="30">
        <v>3</v>
      </c>
      <c r="H55" s="30">
        <v>3</v>
      </c>
      <c r="I55" s="30">
        <v>0</v>
      </c>
      <c r="J55" s="104">
        <f t="shared" si="22"/>
        <v>8</v>
      </c>
      <c r="K55" s="122">
        <f t="shared" si="23"/>
        <v>6</v>
      </c>
      <c r="L55" s="104"/>
      <c r="M55" s="52">
        <v>12</v>
      </c>
      <c r="N55" s="53">
        <v>6</v>
      </c>
      <c r="O55" t="s">
        <v>94</v>
      </c>
    </row>
    <row r="56" spans="1:15">
      <c r="J56" s="104">
        <f t="shared" si="22"/>
        <v>0</v>
      </c>
      <c r="K56" s="122">
        <f t="shared" si="23"/>
        <v>0</v>
      </c>
    </row>
    <row r="57" spans="1:15">
      <c r="A57" s="80" t="s">
        <v>20</v>
      </c>
      <c r="B57" s="54">
        <v>1</v>
      </c>
      <c r="C57" s="54">
        <v>1</v>
      </c>
      <c r="D57" s="54">
        <v>1</v>
      </c>
      <c r="E57" s="54">
        <v>1</v>
      </c>
      <c r="F57" s="54">
        <v>1</v>
      </c>
      <c r="J57" s="104">
        <f t="shared" si="22"/>
        <v>3</v>
      </c>
      <c r="K57" s="122">
        <f t="shared" si="23"/>
        <v>2</v>
      </c>
      <c r="M57">
        <v>5</v>
      </c>
      <c r="N57">
        <v>2</v>
      </c>
    </row>
    <row r="58" spans="1:15">
      <c r="A58" t="s">
        <v>59</v>
      </c>
      <c r="B58">
        <v>1</v>
      </c>
      <c r="C58" s="54">
        <v>1</v>
      </c>
      <c r="D58" s="54">
        <v>1</v>
      </c>
      <c r="F58" s="54">
        <v>1</v>
      </c>
      <c r="G58" s="54">
        <v>2</v>
      </c>
      <c r="H58" s="54">
        <v>2</v>
      </c>
      <c r="J58" s="104">
        <f t="shared" si="22"/>
        <v>5</v>
      </c>
      <c r="K58" s="122">
        <f t="shared" si="23"/>
        <v>3</v>
      </c>
      <c r="M58">
        <v>7</v>
      </c>
      <c r="N58">
        <v>4</v>
      </c>
    </row>
    <row r="59" spans="1:15">
      <c r="G59" s="80"/>
    </row>
    <row r="60" spans="1:15">
      <c r="G60" s="74"/>
      <c r="H60" s="74"/>
    </row>
    <row r="61" spans="1:15">
      <c r="G61" s="74"/>
      <c r="H61" s="74"/>
    </row>
    <row r="62" spans="1:15">
      <c r="G62" s="74"/>
      <c r="H62" s="74"/>
    </row>
    <row r="63" spans="1:15">
      <c r="B63" s="79"/>
      <c r="G63" s="74"/>
      <c r="H63" s="74"/>
    </row>
    <row r="64" spans="1:15">
      <c r="G64" s="74"/>
      <c r="H64" s="74"/>
    </row>
    <row r="65" spans="1:8">
      <c r="G65" s="74"/>
      <c r="H65" s="74"/>
    </row>
    <row r="66" spans="1:8">
      <c r="A66" s="80" t="s">
        <v>95</v>
      </c>
    </row>
    <row r="67" spans="1:8">
      <c r="A67" s="81" t="s">
        <v>96</v>
      </c>
    </row>
    <row r="68" spans="1:8">
      <c r="A68" t="s">
        <v>22</v>
      </c>
      <c r="B68" t="s">
        <v>97</v>
      </c>
      <c r="C68" t="s">
        <v>98</v>
      </c>
      <c r="G68" s="80" t="s">
        <v>99</v>
      </c>
    </row>
    <row r="69" spans="1:8">
      <c r="A69" t="s">
        <v>17</v>
      </c>
      <c r="B69" t="s">
        <v>100</v>
      </c>
      <c r="G69" s="74" t="s">
        <v>101</v>
      </c>
      <c r="H69" s="74" t="s">
        <v>102</v>
      </c>
    </row>
    <row r="70" spans="1:8">
      <c r="A70" t="s">
        <v>18</v>
      </c>
      <c r="B70" t="s">
        <v>103</v>
      </c>
      <c r="C70" t="s">
        <v>104</v>
      </c>
      <c r="G70" s="74" t="s">
        <v>18</v>
      </c>
      <c r="H70" s="74" t="s">
        <v>105</v>
      </c>
    </row>
    <row r="71" spans="1:8">
      <c r="A71" t="s">
        <v>16</v>
      </c>
      <c r="B71" t="s">
        <v>98</v>
      </c>
      <c r="G71" s="74"/>
      <c r="H71" s="74"/>
    </row>
    <row r="72" spans="1:8">
      <c r="B72" s="79"/>
      <c r="G72" s="74" t="s">
        <v>13</v>
      </c>
      <c r="H72" s="74" t="s">
        <v>106</v>
      </c>
    </row>
    <row r="73" spans="1:8">
      <c r="G73" s="74" t="s">
        <v>17</v>
      </c>
      <c r="H73" s="74" t="s">
        <v>107</v>
      </c>
    </row>
    <row r="74" spans="1:8">
      <c r="G74" s="74" t="s">
        <v>20</v>
      </c>
      <c r="H74" s="74" t="s">
        <v>108</v>
      </c>
    </row>
    <row r="75" spans="1:8">
      <c r="A75" s="81" t="s">
        <v>109</v>
      </c>
      <c r="G75" t="s">
        <v>23</v>
      </c>
      <c r="H75" s="74" t="s">
        <v>110</v>
      </c>
    </row>
    <row r="76" spans="1:8">
      <c r="A76" t="s">
        <v>14</v>
      </c>
      <c r="B76" t="s">
        <v>111</v>
      </c>
      <c r="G76" s="20" t="s">
        <v>24</v>
      </c>
      <c r="H76" s="20" t="s">
        <v>112</v>
      </c>
    </row>
    <row r="77" spans="1:8">
      <c r="A77" t="s">
        <v>13</v>
      </c>
      <c r="B77" t="s">
        <v>111</v>
      </c>
      <c r="G77" s="20" t="s">
        <v>14</v>
      </c>
      <c r="H77" s="20" t="s">
        <v>113</v>
      </c>
    </row>
    <row r="78" spans="1:8">
      <c r="A78" t="s">
        <v>26</v>
      </c>
      <c r="B78" t="s">
        <v>114</v>
      </c>
      <c r="G78" s="75" t="s">
        <v>26</v>
      </c>
      <c r="H78" s="74" t="s">
        <v>115</v>
      </c>
    </row>
    <row r="79" spans="1:8">
      <c r="A79" t="s">
        <v>19</v>
      </c>
      <c r="B79" t="s">
        <v>116</v>
      </c>
      <c r="G79" s="75" t="s">
        <v>117</v>
      </c>
      <c r="H79" s="74" t="s">
        <v>118</v>
      </c>
    </row>
    <row r="80" spans="1:8">
      <c r="A80" t="s">
        <v>90</v>
      </c>
      <c r="B80" t="s">
        <v>119</v>
      </c>
      <c r="G80" s="75" t="s">
        <v>120</v>
      </c>
      <c r="H80" s="74" t="s">
        <v>121</v>
      </c>
    </row>
    <row r="81" spans="1:8">
      <c r="A81" t="s">
        <v>120</v>
      </c>
      <c r="B81" t="s">
        <v>122</v>
      </c>
      <c r="G81" s="75" t="s">
        <v>61</v>
      </c>
      <c r="H81" s="74" t="s">
        <v>123</v>
      </c>
    </row>
    <row r="82" spans="1:8">
      <c r="A82" t="s">
        <v>27</v>
      </c>
      <c r="B82" t="s">
        <v>119</v>
      </c>
      <c r="G82" s="75" t="s">
        <v>19</v>
      </c>
    </row>
    <row r="83" spans="1:8">
      <c r="A83" t="s">
        <v>120</v>
      </c>
      <c r="B83" t="s">
        <v>124</v>
      </c>
      <c r="G83" s="75" t="s">
        <v>49</v>
      </c>
    </row>
    <row r="84" spans="1:8">
      <c r="A84" t="s">
        <v>61</v>
      </c>
      <c r="B84" t="s">
        <v>124</v>
      </c>
    </row>
  </sheetData>
  <pageMargins left="0.7" right="0.7" top="0.75" bottom="0.75" header="0.3" footer="0.3"/>
  <pageSetup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52CDF9-3122-42D5-AA21-57241D0513CC}">
  <dimension ref="A1"/>
  <sheetViews>
    <sheetView workbookViewId="0"/>
  </sheetViews>
  <sheetFormatPr defaultRowHeight="15"/>
  <sheetData>
    <row r="1" spans="1:1">
      <c r="A1" t="s">
        <v>125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0507E2-9BB9-4455-8317-31B7E7DB8DFF}">
  <dimension ref="A1:H333"/>
  <sheetViews>
    <sheetView workbookViewId="0">
      <pane ySplit="1" topLeftCell="A173" activePane="bottomLeft" state="frozen"/>
      <selection pane="bottomLeft" activeCell="B4" sqref="B4"/>
    </sheetView>
  </sheetViews>
  <sheetFormatPr defaultRowHeight="15"/>
  <cols>
    <col min="1" max="1" width="39.85546875" customWidth="1"/>
    <col min="2" max="2" width="26.5703125" customWidth="1"/>
    <col min="3" max="3" width="28.7109375" customWidth="1"/>
    <col min="4" max="4" width="27.5703125" customWidth="1"/>
    <col min="5" max="5" width="29" customWidth="1"/>
    <col min="6" max="6" width="28.42578125" customWidth="1"/>
  </cols>
  <sheetData>
    <row r="1" spans="1:8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</row>
    <row r="2" spans="1:8">
      <c r="A2" s="6" t="s">
        <v>126</v>
      </c>
      <c r="B2" s="6" t="s">
        <v>126</v>
      </c>
      <c r="C2" s="6" t="s">
        <v>126</v>
      </c>
      <c r="D2" s="6" t="s">
        <v>126</v>
      </c>
      <c r="E2" s="6" t="s">
        <v>126</v>
      </c>
      <c r="F2" s="6" t="s">
        <v>126</v>
      </c>
    </row>
    <row r="3" spans="1:8">
      <c r="A3" s="7">
        <v>45658</v>
      </c>
      <c r="B3" s="11" t="s">
        <v>16</v>
      </c>
      <c r="C3" s="11"/>
      <c r="D3" s="11" t="s">
        <v>127</v>
      </c>
      <c r="E3" s="11"/>
      <c r="F3" s="11"/>
    </row>
    <row r="4" spans="1:8">
      <c r="A4" s="8">
        <v>45659</v>
      </c>
      <c r="B4" s="4" t="s">
        <v>19</v>
      </c>
      <c r="C4" s="4" t="s">
        <v>16</v>
      </c>
      <c r="D4" s="4" t="s">
        <v>127</v>
      </c>
      <c r="E4" s="4"/>
      <c r="F4" s="4"/>
    </row>
    <row r="5" spans="1:8">
      <c r="A5" s="8">
        <v>45660</v>
      </c>
      <c r="B5" s="4" t="s">
        <v>19</v>
      </c>
      <c r="C5" s="4" t="s">
        <v>16</v>
      </c>
      <c r="D5" s="4" t="s">
        <v>127</v>
      </c>
      <c r="E5" s="4"/>
      <c r="F5" s="4"/>
    </row>
    <row r="6" spans="1:8">
      <c r="A6" s="2">
        <v>45661</v>
      </c>
      <c r="B6" s="3" t="s">
        <v>17</v>
      </c>
      <c r="C6" s="3"/>
      <c r="D6" s="3" t="s">
        <v>127</v>
      </c>
      <c r="E6" s="3"/>
      <c r="F6" s="3"/>
    </row>
    <row r="7" spans="1:8">
      <c r="A7" s="2">
        <v>45662</v>
      </c>
      <c r="B7" s="3" t="s">
        <v>17</v>
      </c>
      <c r="C7" s="3"/>
      <c r="D7" s="3" t="s">
        <v>127</v>
      </c>
      <c r="E7" s="3"/>
      <c r="F7" s="3"/>
    </row>
    <row r="8" spans="1:8">
      <c r="A8" s="8">
        <v>45663</v>
      </c>
      <c r="B8" s="4" t="s">
        <v>18</v>
      </c>
      <c r="C8" s="4" t="s">
        <v>17</v>
      </c>
      <c r="D8" s="4" t="s">
        <v>22</v>
      </c>
      <c r="E8" s="4" t="s">
        <v>20</v>
      </c>
      <c r="F8" s="4" t="s">
        <v>128</v>
      </c>
    </row>
    <row r="9" spans="1:8">
      <c r="A9" s="8">
        <v>45664</v>
      </c>
      <c r="B9" s="4" t="s">
        <v>18</v>
      </c>
      <c r="C9" s="4" t="s">
        <v>17</v>
      </c>
      <c r="D9" s="4" t="s">
        <v>22</v>
      </c>
      <c r="E9" s="4" t="s">
        <v>20</v>
      </c>
      <c r="F9" s="4" t="s">
        <v>128</v>
      </c>
    </row>
    <row r="10" spans="1:8">
      <c r="A10" s="8">
        <v>45665</v>
      </c>
      <c r="B10" s="4" t="s">
        <v>18</v>
      </c>
      <c r="C10" s="4" t="s">
        <v>17</v>
      </c>
      <c r="D10" s="4" t="s">
        <v>22</v>
      </c>
      <c r="E10" s="4" t="s">
        <v>20</v>
      </c>
      <c r="F10" s="4" t="s">
        <v>128</v>
      </c>
      <c r="G10" s="74" t="s">
        <v>101</v>
      </c>
      <c r="H10" s="74" t="s">
        <v>102</v>
      </c>
    </row>
    <row r="11" spans="1:8">
      <c r="A11" s="8">
        <v>45666</v>
      </c>
      <c r="B11" s="4" t="s">
        <v>18</v>
      </c>
      <c r="C11" s="4" t="s">
        <v>17</v>
      </c>
      <c r="D11" s="4" t="s">
        <v>22</v>
      </c>
      <c r="E11" s="4" t="s">
        <v>20</v>
      </c>
      <c r="F11" s="4" t="s">
        <v>128</v>
      </c>
      <c r="G11" s="74" t="s">
        <v>18</v>
      </c>
      <c r="H11" s="74" t="s">
        <v>105</v>
      </c>
    </row>
    <row r="12" spans="1:8">
      <c r="A12" s="8">
        <v>45667</v>
      </c>
      <c r="B12" s="4" t="s">
        <v>18</v>
      </c>
      <c r="C12" s="4" t="s">
        <v>17</v>
      </c>
      <c r="D12" s="4" t="s">
        <v>22</v>
      </c>
      <c r="E12" s="3"/>
      <c r="F12" s="4" t="s">
        <v>128</v>
      </c>
      <c r="G12" s="74" t="s">
        <v>13</v>
      </c>
      <c r="H12" s="74" t="s">
        <v>129</v>
      </c>
    </row>
    <row r="13" spans="1:8">
      <c r="A13" s="2">
        <v>45668</v>
      </c>
      <c r="B13" s="3" t="s">
        <v>13</v>
      </c>
      <c r="C13" s="3"/>
      <c r="D13" s="3" t="s">
        <v>18</v>
      </c>
      <c r="E13" s="3"/>
      <c r="F13" s="3"/>
      <c r="G13" s="74" t="s">
        <v>130</v>
      </c>
      <c r="H13" s="74" t="s">
        <v>106</v>
      </c>
    </row>
    <row r="14" spans="1:8">
      <c r="A14" s="2">
        <v>45669</v>
      </c>
      <c r="B14" s="3" t="s">
        <v>13</v>
      </c>
      <c r="C14" s="3"/>
      <c r="D14" s="3" t="s">
        <v>18</v>
      </c>
      <c r="E14" s="3"/>
      <c r="F14" s="3"/>
      <c r="G14" s="74" t="s">
        <v>17</v>
      </c>
      <c r="H14" s="74" t="s">
        <v>107</v>
      </c>
    </row>
    <row r="15" spans="1:8">
      <c r="A15" s="8">
        <v>45670</v>
      </c>
      <c r="B15" s="4" t="s">
        <v>26</v>
      </c>
      <c r="C15" s="4" t="s">
        <v>16</v>
      </c>
      <c r="D15" s="4" t="s">
        <v>13</v>
      </c>
      <c r="E15" s="4" t="s">
        <v>14</v>
      </c>
      <c r="F15" s="4" t="s">
        <v>127</v>
      </c>
      <c r="G15" s="74" t="s">
        <v>26</v>
      </c>
      <c r="H15" s="74" t="s">
        <v>108</v>
      </c>
    </row>
    <row r="16" spans="1:8">
      <c r="A16" s="8">
        <v>45671</v>
      </c>
      <c r="B16" s="4" t="s">
        <v>26</v>
      </c>
      <c r="C16" s="4" t="s">
        <v>16</v>
      </c>
      <c r="D16" s="4" t="s">
        <v>13</v>
      </c>
      <c r="E16" s="4" t="s">
        <v>14</v>
      </c>
      <c r="F16" s="4" t="s">
        <v>127</v>
      </c>
      <c r="G16" t="s">
        <v>20</v>
      </c>
      <c r="H16" t="s">
        <v>110</v>
      </c>
    </row>
    <row r="17" spans="1:8">
      <c r="A17" s="8">
        <v>45672</v>
      </c>
      <c r="B17" s="4" t="s">
        <v>26</v>
      </c>
      <c r="C17" s="4" t="s">
        <v>16</v>
      </c>
      <c r="D17" s="4" t="s">
        <v>13</v>
      </c>
      <c r="E17" s="4" t="s">
        <v>14</v>
      </c>
      <c r="F17" s="4" t="s">
        <v>127</v>
      </c>
      <c r="G17" s="20" t="s">
        <v>24</v>
      </c>
      <c r="H17" s="20" t="s">
        <v>112</v>
      </c>
    </row>
    <row r="18" spans="1:8">
      <c r="A18" s="8">
        <v>45673</v>
      </c>
      <c r="B18" s="4" t="s">
        <v>26</v>
      </c>
      <c r="C18" s="4" t="s">
        <v>16</v>
      </c>
      <c r="D18" s="4" t="s">
        <v>13</v>
      </c>
      <c r="E18" s="4" t="s">
        <v>14</v>
      </c>
      <c r="F18" s="4" t="s">
        <v>127</v>
      </c>
      <c r="G18" s="20" t="s">
        <v>14</v>
      </c>
      <c r="H18" s="20" t="s">
        <v>113</v>
      </c>
    </row>
    <row r="19" spans="1:8">
      <c r="A19" s="8">
        <v>45674</v>
      </c>
      <c r="B19" s="4" t="s">
        <v>26</v>
      </c>
      <c r="C19" s="4" t="s">
        <v>16</v>
      </c>
      <c r="D19" s="4" t="s">
        <v>13</v>
      </c>
      <c r="E19" s="3" t="s">
        <v>20</v>
      </c>
      <c r="F19" s="4" t="s">
        <v>127</v>
      </c>
    </row>
    <row r="20" spans="1:8">
      <c r="A20" s="2">
        <v>45675</v>
      </c>
      <c r="B20" s="3" t="s">
        <v>19</v>
      </c>
      <c r="C20" s="3"/>
      <c r="D20" s="3" t="s">
        <v>128</v>
      </c>
      <c r="E20" s="3" t="s">
        <v>20</v>
      </c>
      <c r="F20" s="3"/>
    </row>
    <row r="21" spans="1:8">
      <c r="A21" s="2">
        <v>45676</v>
      </c>
      <c r="B21" s="3" t="s">
        <v>19</v>
      </c>
      <c r="C21" s="3"/>
      <c r="D21" s="3" t="s">
        <v>128</v>
      </c>
      <c r="E21" s="3" t="s">
        <v>20</v>
      </c>
      <c r="F21" s="3"/>
    </row>
    <row r="22" spans="1:8">
      <c r="A22" s="8">
        <v>45677</v>
      </c>
      <c r="B22" s="4" t="s">
        <v>19</v>
      </c>
      <c r="C22" s="4" t="s">
        <v>127</v>
      </c>
      <c r="D22" s="4" t="s">
        <v>13</v>
      </c>
      <c r="E22" s="4" t="s">
        <v>22</v>
      </c>
      <c r="F22" s="4" t="s">
        <v>131</v>
      </c>
    </row>
    <row r="23" spans="1:8">
      <c r="A23" s="8">
        <v>45678</v>
      </c>
      <c r="B23" s="4" t="s">
        <v>19</v>
      </c>
      <c r="C23" s="4" t="s">
        <v>127</v>
      </c>
      <c r="D23" s="4" t="s">
        <v>13</v>
      </c>
      <c r="E23" s="4" t="s">
        <v>22</v>
      </c>
      <c r="F23" s="4" t="s">
        <v>131</v>
      </c>
    </row>
    <row r="24" spans="1:8">
      <c r="A24" s="8">
        <v>45679</v>
      </c>
      <c r="B24" s="4" t="s">
        <v>19</v>
      </c>
      <c r="C24" s="4" t="s">
        <v>127</v>
      </c>
      <c r="D24" s="4" t="s">
        <v>13</v>
      </c>
      <c r="E24" s="4" t="s">
        <v>22</v>
      </c>
      <c r="F24" s="4" t="s">
        <v>131</v>
      </c>
    </row>
    <row r="25" spans="1:8">
      <c r="A25" s="8">
        <v>45680</v>
      </c>
      <c r="B25" s="4" t="s">
        <v>19</v>
      </c>
      <c r="C25" s="4" t="s">
        <v>127</v>
      </c>
      <c r="D25" s="4" t="s">
        <v>13</v>
      </c>
      <c r="E25" s="4" t="s">
        <v>22</v>
      </c>
      <c r="F25" s="4" t="s">
        <v>131</v>
      </c>
    </row>
    <row r="26" spans="1:8">
      <c r="A26" s="8">
        <v>45681</v>
      </c>
      <c r="B26" s="4" t="s">
        <v>19</v>
      </c>
      <c r="C26" s="4" t="s">
        <v>127</v>
      </c>
      <c r="D26" s="4" t="s">
        <v>13</v>
      </c>
      <c r="E26" s="3" t="s">
        <v>14</v>
      </c>
      <c r="F26" s="4" t="s">
        <v>131</v>
      </c>
    </row>
    <row r="27" spans="1:8">
      <c r="A27" s="2">
        <v>45682</v>
      </c>
      <c r="B27" s="3" t="s">
        <v>16</v>
      </c>
      <c r="C27" s="3"/>
      <c r="D27" s="3" t="s">
        <v>13</v>
      </c>
      <c r="E27" s="3" t="s">
        <v>14</v>
      </c>
      <c r="F27" s="3"/>
    </row>
    <row r="28" spans="1:8">
      <c r="A28" s="2">
        <v>45683</v>
      </c>
      <c r="B28" s="3" t="s">
        <v>16</v>
      </c>
      <c r="C28" s="3"/>
      <c r="D28" s="3" t="s">
        <v>13</v>
      </c>
      <c r="E28" s="3" t="s">
        <v>14</v>
      </c>
      <c r="F28" s="3"/>
    </row>
    <row r="29" spans="1:8">
      <c r="A29" s="8">
        <v>45684</v>
      </c>
      <c r="B29" s="4" t="s">
        <v>17</v>
      </c>
      <c r="C29" s="4" t="s">
        <v>18</v>
      </c>
      <c r="D29" s="4" t="s">
        <v>127</v>
      </c>
      <c r="E29" s="4" t="s">
        <v>20</v>
      </c>
      <c r="F29" s="4" t="s">
        <v>101</v>
      </c>
    </row>
    <row r="30" spans="1:8">
      <c r="A30" s="8">
        <v>45685</v>
      </c>
      <c r="B30" s="4" t="s">
        <v>17</v>
      </c>
      <c r="C30" s="4" t="s">
        <v>18</v>
      </c>
      <c r="D30" s="4" t="s">
        <v>127</v>
      </c>
      <c r="E30" s="4" t="s">
        <v>20</v>
      </c>
      <c r="F30" s="4" t="s">
        <v>101</v>
      </c>
    </row>
    <row r="31" spans="1:8">
      <c r="A31" s="8">
        <v>45686</v>
      </c>
      <c r="B31" s="4" t="s">
        <v>17</v>
      </c>
      <c r="C31" s="4" t="s">
        <v>18</v>
      </c>
      <c r="D31" s="4" t="s">
        <v>127</v>
      </c>
      <c r="E31" s="4" t="s">
        <v>20</v>
      </c>
      <c r="F31" s="4" t="s">
        <v>101</v>
      </c>
    </row>
    <row r="32" spans="1:8">
      <c r="A32" s="8">
        <v>45687</v>
      </c>
      <c r="B32" s="4" t="s">
        <v>17</v>
      </c>
      <c r="C32" s="4" t="s">
        <v>18</v>
      </c>
      <c r="D32" s="4" t="s">
        <v>127</v>
      </c>
      <c r="E32" s="4" t="s">
        <v>20</v>
      </c>
      <c r="F32" s="4" t="s">
        <v>101</v>
      </c>
    </row>
    <row r="33" spans="1:6">
      <c r="A33" s="8">
        <v>45688</v>
      </c>
      <c r="B33" s="4" t="s">
        <v>17</v>
      </c>
      <c r="C33" s="4" t="s">
        <v>18</v>
      </c>
      <c r="D33" s="4" t="s">
        <v>127</v>
      </c>
      <c r="E33" s="3" t="s">
        <v>22</v>
      </c>
      <c r="F33" s="4" t="s">
        <v>101</v>
      </c>
    </row>
    <row r="34" spans="1:6">
      <c r="A34" s="9" t="s">
        <v>132</v>
      </c>
      <c r="B34" s="9" t="s">
        <v>132</v>
      </c>
      <c r="C34" s="9" t="s">
        <v>29</v>
      </c>
      <c r="D34" s="9" t="s">
        <v>29</v>
      </c>
      <c r="E34" s="9" t="s">
        <v>29</v>
      </c>
      <c r="F34" s="9" t="s">
        <v>29</v>
      </c>
    </row>
    <row r="35" spans="1:6">
      <c r="A35" s="2">
        <v>45689</v>
      </c>
      <c r="B35" s="3" t="s">
        <v>17</v>
      </c>
      <c r="C35" s="3"/>
      <c r="D35" s="3" t="s">
        <v>127</v>
      </c>
      <c r="E35" s="3" t="s">
        <v>22</v>
      </c>
      <c r="F35" s="3"/>
    </row>
    <row r="36" spans="1:6">
      <c r="A36" s="2">
        <v>45690</v>
      </c>
      <c r="B36" s="3" t="s">
        <v>17</v>
      </c>
      <c r="C36" s="3"/>
      <c r="D36" s="3" t="s">
        <v>127</v>
      </c>
      <c r="E36" s="3" t="s">
        <v>22</v>
      </c>
      <c r="F36" s="3"/>
    </row>
    <row r="37" spans="1:6">
      <c r="A37" s="8">
        <v>45691</v>
      </c>
      <c r="B37" s="4" t="s">
        <v>127</v>
      </c>
      <c r="C37" s="4" t="s">
        <v>13</v>
      </c>
      <c r="D37" s="4" t="s">
        <v>128</v>
      </c>
      <c r="E37" s="4" t="s">
        <v>14</v>
      </c>
      <c r="F37" s="4" t="s">
        <v>43</v>
      </c>
    </row>
    <row r="38" spans="1:6">
      <c r="A38" s="8">
        <v>45692</v>
      </c>
      <c r="B38" s="4" t="s">
        <v>127</v>
      </c>
      <c r="C38" s="4" t="s">
        <v>13</v>
      </c>
      <c r="D38" s="4" t="s">
        <v>128</v>
      </c>
      <c r="E38" s="4" t="s">
        <v>14</v>
      </c>
      <c r="F38" s="4" t="s">
        <v>43</v>
      </c>
    </row>
    <row r="39" spans="1:6">
      <c r="A39" s="8">
        <v>45693</v>
      </c>
      <c r="B39" s="4" t="s">
        <v>127</v>
      </c>
      <c r="C39" s="4" t="s">
        <v>13</v>
      </c>
      <c r="D39" s="4" t="s">
        <v>128</v>
      </c>
      <c r="E39" s="4" t="s">
        <v>14</v>
      </c>
      <c r="F39" s="4" t="s">
        <v>43</v>
      </c>
    </row>
    <row r="40" spans="1:6">
      <c r="A40" s="8">
        <v>45694</v>
      </c>
      <c r="B40" s="4" t="s">
        <v>127</v>
      </c>
      <c r="C40" s="4" t="s">
        <v>13</v>
      </c>
      <c r="D40" s="4" t="s">
        <v>128</v>
      </c>
      <c r="E40" s="4" t="s">
        <v>14</v>
      </c>
      <c r="F40" s="4" t="s">
        <v>43</v>
      </c>
    </row>
    <row r="41" spans="1:6">
      <c r="A41" s="8">
        <v>45695</v>
      </c>
      <c r="B41" s="4" t="s">
        <v>127</v>
      </c>
      <c r="C41" s="4" t="s">
        <v>13</v>
      </c>
      <c r="D41" s="4" t="s">
        <v>128</v>
      </c>
      <c r="E41" s="3" t="s">
        <v>20</v>
      </c>
      <c r="F41" s="4" t="s">
        <v>43</v>
      </c>
    </row>
    <row r="42" spans="1:6">
      <c r="A42" s="2">
        <v>45696</v>
      </c>
      <c r="B42" s="3" t="s">
        <v>13</v>
      </c>
      <c r="C42" s="3"/>
      <c r="D42" s="3" t="s">
        <v>16</v>
      </c>
      <c r="E42" s="3" t="s">
        <v>20</v>
      </c>
      <c r="F42" s="3"/>
    </row>
    <row r="43" spans="1:6">
      <c r="A43" s="2">
        <v>45697</v>
      </c>
      <c r="B43" s="3" t="s">
        <v>13</v>
      </c>
      <c r="C43" s="3"/>
      <c r="D43" s="3" t="s">
        <v>16</v>
      </c>
      <c r="E43" s="3" t="s">
        <v>20</v>
      </c>
      <c r="F43" s="3"/>
    </row>
    <row r="44" spans="1:6">
      <c r="A44" s="8">
        <v>45698</v>
      </c>
      <c r="B44" s="4" t="s">
        <v>19</v>
      </c>
      <c r="C44" s="4" t="s">
        <v>26</v>
      </c>
      <c r="D44" s="4" t="s">
        <v>17</v>
      </c>
      <c r="E44" s="4" t="s">
        <v>22</v>
      </c>
      <c r="F44" s="4" t="s">
        <v>25</v>
      </c>
    </row>
    <row r="45" spans="1:6">
      <c r="A45" s="8">
        <v>45699</v>
      </c>
      <c r="B45" s="4" t="s">
        <v>19</v>
      </c>
      <c r="C45" s="4" t="s">
        <v>26</v>
      </c>
      <c r="D45" s="4" t="s">
        <v>17</v>
      </c>
      <c r="E45" s="4" t="s">
        <v>22</v>
      </c>
      <c r="F45" s="4" t="s">
        <v>25</v>
      </c>
    </row>
    <row r="46" spans="1:6">
      <c r="A46" s="8">
        <v>45700</v>
      </c>
      <c r="B46" s="4" t="s">
        <v>19</v>
      </c>
      <c r="C46" s="4" t="s">
        <v>26</v>
      </c>
      <c r="D46" s="4" t="s">
        <v>17</v>
      </c>
      <c r="E46" s="4" t="s">
        <v>22</v>
      </c>
      <c r="F46" s="4" t="s">
        <v>25</v>
      </c>
    </row>
    <row r="47" spans="1:6">
      <c r="A47" s="8">
        <v>45701</v>
      </c>
      <c r="B47" s="4" t="s">
        <v>19</v>
      </c>
      <c r="C47" s="4" t="s">
        <v>26</v>
      </c>
      <c r="D47" s="4" t="s">
        <v>17</v>
      </c>
      <c r="E47" s="4" t="s">
        <v>22</v>
      </c>
      <c r="F47" s="4" t="s">
        <v>25</v>
      </c>
    </row>
    <row r="48" spans="1:6">
      <c r="A48" s="8">
        <v>45702</v>
      </c>
      <c r="B48" s="4" t="s">
        <v>19</v>
      </c>
      <c r="C48" s="4" t="s">
        <v>26</v>
      </c>
      <c r="D48" s="4" t="s">
        <v>17</v>
      </c>
      <c r="E48" s="3" t="s">
        <v>133</v>
      </c>
      <c r="F48" s="4" t="s">
        <v>25</v>
      </c>
    </row>
    <row r="49" spans="1:6">
      <c r="A49" s="2">
        <v>45703</v>
      </c>
      <c r="B49" s="3" t="s">
        <v>20</v>
      </c>
      <c r="C49" s="3"/>
      <c r="D49" s="3" t="s">
        <v>25</v>
      </c>
      <c r="E49" s="3" t="s">
        <v>133</v>
      </c>
      <c r="F49" s="3"/>
    </row>
    <row r="50" spans="1:6">
      <c r="A50" s="2">
        <v>45704</v>
      </c>
      <c r="B50" s="3" t="s">
        <v>20</v>
      </c>
      <c r="C50" s="3"/>
      <c r="D50" s="3" t="s">
        <v>25</v>
      </c>
      <c r="E50" s="3" t="s">
        <v>133</v>
      </c>
      <c r="F50" s="3"/>
    </row>
    <row r="51" spans="1:6">
      <c r="A51" s="8">
        <v>45705</v>
      </c>
      <c r="B51" s="4" t="s">
        <v>127</v>
      </c>
      <c r="C51" s="4" t="s">
        <v>20</v>
      </c>
      <c r="D51" s="4" t="s">
        <v>47</v>
      </c>
      <c r="E51" s="4" t="s">
        <v>16</v>
      </c>
      <c r="F51" s="4" t="s">
        <v>134</v>
      </c>
    </row>
    <row r="52" spans="1:6">
      <c r="A52" s="8">
        <v>45706</v>
      </c>
      <c r="B52" s="4" t="s">
        <v>127</v>
      </c>
      <c r="C52" s="4" t="s">
        <v>20</v>
      </c>
      <c r="D52" s="4" t="s">
        <v>47</v>
      </c>
      <c r="E52" s="4" t="s">
        <v>16</v>
      </c>
      <c r="F52" s="4" t="s">
        <v>134</v>
      </c>
    </row>
    <row r="53" spans="1:6">
      <c r="A53" s="8">
        <v>45707</v>
      </c>
      <c r="B53" s="4" t="s">
        <v>127</v>
      </c>
      <c r="C53" s="4" t="s">
        <v>20</v>
      </c>
      <c r="D53" s="4" t="s">
        <v>47</v>
      </c>
      <c r="E53" s="4" t="s">
        <v>16</v>
      </c>
      <c r="F53" s="4" t="s">
        <v>134</v>
      </c>
    </row>
    <row r="54" spans="1:6">
      <c r="A54" s="8">
        <v>45708</v>
      </c>
      <c r="B54" s="4" t="s">
        <v>127</v>
      </c>
      <c r="C54" s="4" t="s">
        <v>20</v>
      </c>
      <c r="D54" s="4" t="s">
        <v>47</v>
      </c>
      <c r="E54" s="4" t="s">
        <v>16</v>
      </c>
      <c r="F54" s="4" t="s">
        <v>134</v>
      </c>
    </row>
    <row r="55" spans="1:6">
      <c r="A55" s="8">
        <v>45709</v>
      </c>
      <c r="B55" s="4" t="s">
        <v>127</v>
      </c>
      <c r="C55" s="4" t="s">
        <v>20</v>
      </c>
      <c r="D55" s="4" t="s">
        <v>131</v>
      </c>
      <c r="E55" s="3" t="s">
        <v>26</v>
      </c>
      <c r="F55" s="4" t="s">
        <v>134</v>
      </c>
    </row>
    <row r="56" spans="1:6">
      <c r="A56" s="2">
        <v>45710</v>
      </c>
      <c r="B56" s="3" t="s">
        <v>14</v>
      </c>
      <c r="C56" s="3"/>
      <c r="D56" s="3" t="s">
        <v>43</v>
      </c>
      <c r="E56" s="3" t="s">
        <v>26</v>
      </c>
      <c r="F56" s="3"/>
    </row>
    <row r="57" spans="1:6">
      <c r="A57" s="2">
        <v>45711</v>
      </c>
      <c r="B57" s="3" t="s">
        <v>14</v>
      </c>
      <c r="C57" s="3"/>
      <c r="D57" s="3" t="s">
        <v>43</v>
      </c>
      <c r="E57" s="3" t="s">
        <v>26</v>
      </c>
      <c r="F57" s="3"/>
    </row>
    <row r="58" spans="1:6">
      <c r="A58" s="8">
        <v>45712</v>
      </c>
      <c r="B58" s="4" t="s">
        <v>22</v>
      </c>
      <c r="C58" s="4" t="s">
        <v>18</v>
      </c>
      <c r="D58" s="4" t="s">
        <v>17</v>
      </c>
      <c r="E58" s="4" t="s">
        <v>27</v>
      </c>
      <c r="F58" s="4" t="s">
        <v>133</v>
      </c>
    </row>
    <row r="59" spans="1:6">
      <c r="A59" s="8">
        <v>45713</v>
      </c>
      <c r="B59" s="4" t="s">
        <v>22</v>
      </c>
      <c r="C59" s="4" t="s">
        <v>18</v>
      </c>
      <c r="D59" s="4" t="s">
        <v>17</v>
      </c>
      <c r="E59" s="4" t="s">
        <v>27</v>
      </c>
      <c r="F59" s="4" t="s">
        <v>133</v>
      </c>
    </row>
    <row r="60" spans="1:6">
      <c r="A60" s="8">
        <v>45714</v>
      </c>
      <c r="B60" s="4" t="s">
        <v>22</v>
      </c>
      <c r="C60" s="4" t="s">
        <v>18</v>
      </c>
      <c r="D60" s="4" t="s">
        <v>17</v>
      </c>
      <c r="E60" s="4" t="s">
        <v>27</v>
      </c>
      <c r="F60" s="4" t="s">
        <v>133</v>
      </c>
    </row>
    <row r="61" spans="1:6">
      <c r="A61" s="8">
        <v>45715</v>
      </c>
      <c r="B61" s="4" t="s">
        <v>22</v>
      </c>
      <c r="C61" s="4" t="s">
        <v>18</v>
      </c>
      <c r="D61" s="4" t="s">
        <v>17</v>
      </c>
      <c r="E61" s="4" t="s">
        <v>27</v>
      </c>
      <c r="F61" s="4" t="s">
        <v>133</v>
      </c>
    </row>
    <row r="62" spans="1:6">
      <c r="A62" s="8">
        <v>45716</v>
      </c>
      <c r="B62" s="4" t="s">
        <v>22</v>
      </c>
      <c r="C62" s="4" t="s">
        <v>18</v>
      </c>
      <c r="D62" s="4" t="s">
        <v>47</v>
      </c>
      <c r="E62" s="3" t="s">
        <v>101</v>
      </c>
      <c r="F62" s="4" t="s">
        <v>133</v>
      </c>
    </row>
    <row r="63" spans="1:6">
      <c r="A63" s="9" t="s">
        <v>135</v>
      </c>
      <c r="B63" s="6" t="s">
        <v>33</v>
      </c>
      <c r="C63" s="9" t="s">
        <v>33</v>
      </c>
      <c r="D63" s="6" t="s">
        <v>33</v>
      </c>
      <c r="E63" s="9" t="s">
        <v>33</v>
      </c>
      <c r="F63" s="6" t="s">
        <v>135</v>
      </c>
    </row>
    <row r="64" spans="1:6">
      <c r="A64" s="2">
        <v>45717</v>
      </c>
      <c r="B64" s="3" t="s">
        <v>22</v>
      </c>
      <c r="C64" s="3"/>
      <c r="D64" s="3" t="s">
        <v>13</v>
      </c>
      <c r="E64" s="3" t="s">
        <v>16</v>
      </c>
      <c r="F64" s="3"/>
    </row>
    <row r="65" spans="1:6">
      <c r="A65" s="2">
        <v>45718</v>
      </c>
      <c r="B65" s="3" t="s">
        <v>22</v>
      </c>
      <c r="C65" s="3"/>
      <c r="D65" s="3" t="s">
        <v>13</v>
      </c>
      <c r="E65" s="3" t="s">
        <v>16</v>
      </c>
      <c r="F65" s="3"/>
    </row>
    <row r="66" spans="1:6">
      <c r="A66" s="8">
        <v>45719</v>
      </c>
      <c r="B66" s="4" t="s">
        <v>20</v>
      </c>
      <c r="C66" s="4" t="s">
        <v>127</v>
      </c>
      <c r="D66" s="4" t="s">
        <v>43</v>
      </c>
      <c r="E66" s="4" t="s">
        <v>26</v>
      </c>
      <c r="F66" s="4" t="s">
        <v>133</v>
      </c>
    </row>
    <row r="67" spans="1:6">
      <c r="A67" s="8">
        <v>45720</v>
      </c>
      <c r="B67" s="4" t="s">
        <v>20</v>
      </c>
      <c r="C67" s="4" t="s">
        <v>127</v>
      </c>
      <c r="D67" s="4" t="s">
        <v>43</v>
      </c>
      <c r="E67" s="4" t="s">
        <v>26</v>
      </c>
      <c r="F67" s="4" t="s">
        <v>133</v>
      </c>
    </row>
    <row r="68" spans="1:6">
      <c r="A68" s="8">
        <v>45721</v>
      </c>
      <c r="B68" s="4" t="s">
        <v>20</v>
      </c>
      <c r="C68" s="4" t="s">
        <v>127</v>
      </c>
      <c r="D68" s="4" t="s">
        <v>43</v>
      </c>
      <c r="E68" s="4" t="s">
        <v>26</v>
      </c>
      <c r="F68" s="4" t="s">
        <v>133</v>
      </c>
    </row>
    <row r="69" spans="1:6">
      <c r="A69" s="8">
        <v>45722</v>
      </c>
      <c r="B69" s="4" t="s">
        <v>20</v>
      </c>
      <c r="C69" s="4" t="s">
        <v>127</v>
      </c>
      <c r="D69" s="4" t="s">
        <v>43</v>
      </c>
      <c r="E69" s="4" t="s">
        <v>26</v>
      </c>
      <c r="F69" s="4" t="s">
        <v>133</v>
      </c>
    </row>
    <row r="70" spans="1:6">
      <c r="A70" s="8">
        <v>45723</v>
      </c>
      <c r="B70" s="4" t="s">
        <v>20</v>
      </c>
      <c r="C70" s="4" t="s">
        <v>127</v>
      </c>
      <c r="D70" s="4" t="s">
        <v>43</v>
      </c>
      <c r="E70" s="3" t="s">
        <v>27</v>
      </c>
      <c r="F70" s="4" t="s">
        <v>133</v>
      </c>
    </row>
    <row r="71" spans="1:6">
      <c r="A71" s="2">
        <v>45724</v>
      </c>
      <c r="B71" s="3" t="s">
        <v>17</v>
      </c>
      <c r="C71" s="3"/>
      <c r="D71" s="3" t="s">
        <v>25</v>
      </c>
      <c r="E71" s="3" t="s">
        <v>27</v>
      </c>
      <c r="F71" s="3"/>
    </row>
    <row r="72" spans="1:6">
      <c r="A72" s="2">
        <v>45725</v>
      </c>
      <c r="B72" s="3" t="s">
        <v>17</v>
      </c>
      <c r="C72" s="3"/>
      <c r="D72" s="3" t="s">
        <v>25</v>
      </c>
      <c r="E72" s="3" t="s">
        <v>27</v>
      </c>
      <c r="F72" s="3"/>
    </row>
    <row r="73" spans="1:6">
      <c r="A73" s="8">
        <v>45726</v>
      </c>
      <c r="B73" s="4" t="s">
        <v>127</v>
      </c>
      <c r="C73" s="4" t="s">
        <v>17</v>
      </c>
      <c r="D73" s="4" t="s">
        <v>14</v>
      </c>
      <c r="E73" s="4" t="s">
        <v>16</v>
      </c>
      <c r="F73" s="4"/>
    </row>
    <row r="74" spans="1:6">
      <c r="A74" s="8">
        <v>45727</v>
      </c>
      <c r="B74" s="4" t="s">
        <v>127</v>
      </c>
      <c r="C74" s="4" t="s">
        <v>17</v>
      </c>
      <c r="D74" s="4" t="s">
        <v>14</v>
      </c>
      <c r="E74" s="4" t="s">
        <v>16</v>
      </c>
      <c r="F74" s="4"/>
    </row>
    <row r="75" spans="1:6">
      <c r="A75" s="8">
        <v>45728</v>
      </c>
      <c r="B75" s="4" t="s">
        <v>127</v>
      </c>
      <c r="C75" s="4" t="s">
        <v>17</v>
      </c>
      <c r="D75" s="4" t="s">
        <v>14</v>
      </c>
      <c r="E75" s="4" t="s">
        <v>16</v>
      </c>
      <c r="F75" s="4"/>
    </row>
    <row r="76" spans="1:6">
      <c r="A76" s="8">
        <v>45729</v>
      </c>
      <c r="B76" s="4" t="s">
        <v>127</v>
      </c>
      <c r="C76" s="4" t="s">
        <v>17</v>
      </c>
      <c r="D76" s="4" t="s">
        <v>14</v>
      </c>
      <c r="E76" s="4" t="s">
        <v>16</v>
      </c>
      <c r="F76" s="4"/>
    </row>
    <row r="77" spans="1:6">
      <c r="A77" s="8">
        <v>45730</v>
      </c>
      <c r="B77" s="4" t="s">
        <v>127</v>
      </c>
      <c r="C77" s="4" t="s">
        <v>17</v>
      </c>
      <c r="D77" s="4" t="s">
        <v>14</v>
      </c>
      <c r="E77" s="3" t="s">
        <v>26</v>
      </c>
      <c r="F77" s="4"/>
    </row>
    <row r="78" spans="1:6">
      <c r="A78" s="2">
        <v>45731</v>
      </c>
      <c r="B78" s="3" t="s">
        <v>127</v>
      </c>
      <c r="C78" s="3"/>
      <c r="D78" s="3" t="s">
        <v>43</v>
      </c>
      <c r="E78" s="3" t="s">
        <v>26</v>
      </c>
      <c r="F78" s="3"/>
    </row>
    <row r="79" spans="1:6">
      <c r="A79" s="2">
        <v>45732</v>
      </c>
      <c r="B79" s="3" t="s">
        <v>127</v>
      </c>
      <c r="C79" s="3"/>
      <c r="D79" s="3" t="s">
        <v>43</v>
      </c>
      <c r="E79" s="3" t="s">
        <v>26</v>
      </c>
      <c r="F79" s="3"/>
    </row>
    <row r="80" spans="1:6">
      <c r="A80" s="8">
        <v>45733</v>
      </c>
      <c r="B80" s="4" t="s">
        <v>14</v>
      </c>
      <c r="C80" s="4" t="s">
        <v>13</v>
      </c>
      <c r="D80" s="4" t="s">
        <v>20</v>
      </c>
      <c r="E80" s="4" t="s">
        <v>27</v>
      </c>
      <c r="F80" s="4" t="s">
        <v>22</v>
      </c>
    </row>
    <row r="81" spans="1:6">
      <c r="A81" s="8">
        <v>45734</v>
      </c>
      <c r="B81" s="4" t="s">
        <v>14</v>
      </c>
      <c r="C81" s="4" t="s">
        <v>13</v>
      </c>
      <c r="D81" s="4" t="s">
        <v>20</v>
      </c>
      <c r="E81" s="4" t="s">
        <v>27</v>
      </c>
      <c r="F81" s="4" t="s">
        <v>22</v>
      </c>
    </row>
    <row r="82" spans="1:6">
      <c r="A82" s="8">
        <v>45735</v>
      </c>
      <c r="B82" s="4" t="s">
        <v>14</v>
      </c>
      <c r="C82" s="4" t="s">
        <v>13</v>
      </c>
      <c r="D82" s="4" t="s">
        <v>20</v>
      </c>
      <c r="E82" s="4" t="s">
        <v>27</v>
      </c>
      <c r="F82" s="4" t="s">
        <v>22</v>
      </c>
    </row>
    <row r="83" spans="1:6">
      <c r="A83" s="8">
        <v>45736</v>
      </c>
      <c r="B83" s="4" t="s">
        <v>14</v>
      </c>
      <c r="C83" s="4" t="s">
        <v>13</v>
      </c>
      <c r="D83" s="4" t="s">
        <v>20</v>
      </c>
      <c r="E83" s="4" t="s">
        <v>27</v>
      </c>
      <c r="F83" s="4" t="s">
        <v>22</v>
      </c>
    </row>
    <row r="84" spans="1:6">
      <c r="A84" s="8">
        <v>45737</v>
      </c>
      <c r="B84" s="4" t="s">
        <v>14</v>
      </c>
      <c r="C84" s="4" t="s">
        <v>13</v>
      </c>
      <c r="D84" s="4" t="s">
        <v>20</v>
      </c>
      <c r="E84" s="3" t="s">
        <v>16</v>
      </c>
      <c r="F84" s="4" t="s">
        <v>22</v>
      </c>
    </row>
    <row r="85" spans="1:6">
      <c r="A85" s="2">
        <v>45738</v>
      </c>
      <c r="B85" s="3" t="s">
        <v>127</v>
      </c>
      <c r="C85" s="3"/>
      <c r="D85" s="3" t="s">
        <v>22</v>
      </c>
      <c r="E85" s="3" t="s">
        <v>16</v>
      </c>
      <c r="F85" s="3"/>
    </row>
    <row r="86" spans="1:6">
      <c r="A86" s="2">
        <v>45739</v>
      </c>
      <c r="B86" s="3" t="s">
        <v>127</v>
      </c>
      <c r="C86" s="3"/>
      <c r="D86" s="3" t="s">
        <v>22</v>
      </c>
      <c r="E86" s="3" t="s">
        <v>16</v>
      </c>
      <c r="F86" s="3"/>
    </row>
    <row r="87" spans="1:6">
      <c r="A87" s="8">
        <v>45740</v>
      </c>
      <c r="B87" s="4" t="s">
        <v>27</v>
      </c>
      <c r="C87" s="4" t="s">
        <v>19</v>
      </c>
      <c r="D87" s="4" t="s">
        <v>13</v>
      </c>
      <c r="E87" s="4" t="s">
        <v>26</v>
      </c>
      <c r="F87" s="4" t="s">
        <v>127</v>
      </c>
    </row>
    <row r="88" spans="1:6">
      <c r="A88" s="8">
        <v>45741</v>
      </c>
      <c r="B88" s="4" t="s">
        <v>27</v>
      </c>
      <c r="C88" s="4" t="s">
        <v>19</v>
      </c>
      <c r="D88" s="4" t="s">
        <v>13</v>
      </c>
      <c r="E88" s="4" t="s">
        <v>26</v>
      </c>
      <c r="F88" s="4" t="s">
        <v>127</v>
      </c>
    </row>
    <row r="89" spans="1:6">
      <c r="A89" s="8">
        <v>45742</v>
      </c>
      <c r="B89" s="4" t="s">
        <v>27</v>
      </c>
      <c r="C89" s="4" t="s">
        <v>19</v>
      </c>
      <c r="D89" s="4" t="s">
        <v>13</v>
      </c>
      <c r="E89" s="4" t="s">
        <v>26</v>
      </c>
      <c r="F89" s="4" t="s">
        <v>127</v>
      </c>
    </row>
    <row r="90" spans="1:6">
      <c r="A90" s="8">
        <v>45743</v>
      </c>
      <c r="B90" s="4" t="s">
        <v>27</v>
      </c>
      <c r="C90" s="4" t="s">
        <v>22</v>
      </c>
      <c r="D90" s="4" t="s">
        <v>13</v>
      </c>
      <c r="E90" s="4" t="s">
        <v>26</v>
      </c>
      <c r="F90" s="4" t="s">
        <v>127</v>
      </c>
    </row>
    <row r="91" spans="1:6">
      <c r="A91" s="8">
        <v>45744</v>
      </c>
      <c r="B91" s="4" t="s">
        <v>27</v>
      </c>
      <c r="C91" s="4" t="s">
        <v>22</v>
      </c>
      <c r="D91" s="4" t="s">
        <v>13</v>
      </c>
      <c r="E91" s="3"/>
      <c r="F91" s="4" t="s">
        <v>127</v>
      </c>
    </row>
    <row r="92" spans="1:6">
      <c r="A92" s="2">
        <v>45745</v>
      </c>
      <c r="B92" s="12" t="s">
        <v>17</v>
      </c>
      <c r="C92" s="3"/>
      <c r="D92" s="3" t="s">
        <v>20</v>
      </c>
      <c r="E92" s="3"/>
      <c r="F92" s="3"/>
    </row>
    <row r="93" spans="1:6">
      <c r="A93" s="2">
        <v>45746</v>
      </c>
      <c r="B93" s="12" t="s">
        <v>17</v>
      </c>
      <c r="C93" s="3"/>
      <c r="D93" s="3" t="s">
        <v>20</v>
      </c>
      <c r="E93" s="3"/>
      <c r="F93" s="3"/>
    </row>
    <row r="94" spans="1:6">
      <c r="A94" s="8">
        <v>45747</v>
      </c>
      <c r="B94" s="4" t="s">
        <v>17</v>
      </c>
      <c r="C94" s="4" t="s">
        <v>16</v>
      </c>
      <c r="D94" s="4" t="s">
        <v>14</v>
      </c>
      <c r="E94" s="4" t="s">
        <v>13</v>
      </c>
      <c r="F94" s="4" t="s">
        <v>42</v>
      </c>
    </row>
    <row r="95" spans="1:6">
      <c r="A95" s="9" t="s">
        <v>136</v>
      </c>
      <c r="B95" s="9" t="s">
        <v>136</v>
      </c>
      <c r="C95" s="9" t="s">
        <v>136</v>
      </c>
      <c r="D95" s="9" t="s">
        <v>136</v>
      </c>
      <c r="E95" s="9" t="s">
        <v>136</v>
      </c>
      <c r="F95" s="9" t="s">
        <v>136</v>
      </c>
    </row>
    <row r="96" spans="1:6">
      <c r="A96" s="8">
        <v>45748</v>
      </c>
      <c r="B96" s="4" t="s">
        <v>17</v>
      </c>
      <c r="C96" s="4" t="s">
        <v>16</v>
      </c>
      <c r="D96" s="4" t="s">
        <v>14</v>
      </c>
      <c r="E96" s="4" t="s">
        <v>13</v>
      </c>
      <c r="F96" s="4" t="s">
        <v>42</v>
      </c>
    </row>
    <row r="97" spans="1:6">
      <c r="A97" s="8">
        <v>45749</v>
      </c>
      <c r="B97" s="4" t="s">
        <v>17</v>
      </c>
      <c r="C97" s="4" t="s">
        <v>16</v>
      </c>
      <c r="D97" s="4" t="s">
        <v>14</v>
      </c>
      <c r="E97" s="4" t="s">
        <v>13</v>
      </c>
      <c r="F97" s="4" t="s">
        <v>42</v>
      </c>
    </row>
    <row r="98" spans="1:6">
      <c r="A98" s="8">
        <v>45750</v>
      </c>
      <c r="B98" s="4" t="s">
        <v>17</v>
      </c>
      <c r="C98" s="4" t="s">
        <v>16</v>
      </c>
      <c r="D98" s="4" t="s">
        <v>14</v>
      </c>
      <c r="E98" s="4" t="s">
        <v>13</v>
      </c>
      <c r="F98" s="4" t="s">
        <v>42</v>
      </c>
    </row>
    <row r="99" spans="1:6">
      <c r="A99" s="8">
        <v>45751</v>
      </c>
      <c r="B99" s="4" t="s">
        <v>17</v>
      </c>
      <c r="C99" s="4" t="s">
        <v>16</v>
      </c>
      <c r="D99" s="4" t="s">
        <v>14</v>
      </c>
      <c r="E99" s="3" t="s">
        <v>127</v>
      </c>
      <c r="F99" s="4" t="s">
        <v>42</v>
      </c>
    </row>
    <row r="100" spans="1:6">
      <c r="A100" s="2">
        <v>45752</v>
      </c>
      <c r="B100" s="3" t="s">
        <v>18</v>
      </c>
      <c r="C100" s="3"/>
      <c r="D100" s="3" t="s">
        <v>133</v>
      </c>
      <c r="E100" s="3" t="s">
        <v>127</v>
      </c>
      <c r="F100" s="3"/>
    </row>
    <row r="101" spans="1:6">
      <c r="A101" s="2">
        <v>45753</v>
      </c>
      <c r="B101" s="3" t="s">
        <v>18</v>
      </c>
      <c r="C101" s="3"/>
      <c r="D101" s="3" t="s">
        <v>14</v>
      </c>
      <c r="E101" s="3" t="s">
        <v>127</v>
      </c>
      <c r="F101" s="3"/>
    </row>
    <row r="102" spans="1:6">
      <c r="A102" s="8">
        <v>45754</v>
      </c>
      <c r="B102" s="4" t="s">
        <v>127</v>
      </c>
      <c r="C102" s="4" t="s">
        <v>25</v>
      </c>
      <c r="D102" s="4" t="s">
        <v>43</v>
      </c>
      <c r="E102" s="4" t="s">
        <v>17</v>
      </c>
      <c r="F102" s="4" t="s">
        <v>128</v>
      </c>
    </row>
    <row r="103" spans="1:6">
      <c r="A103" s="8">
        <v>45755</v>
      </c>
      <c r="B103" s="4" t="s">
        <v>127</v>
      </c>
      <c r="C103" s="4" t="s">
        <v>25</v>
      </c>
      <c r="D103" s="4" t="s">
        <v>43</v>
      </c>
      <c r="E103" s="4" t="s">
        <v>17</v>
      </c>
      <c r="F103" s="4" t="s">
        <v>128</v>
      </c>
    </row>
    <row r="104" spans="1:6">
      <c r="A104" s="8">
        <v>45756</v>
      </c>
      <c r="B104" s="4" t="s">
        <v>127</v>
      </c>
      <c r="C104" s="4" t="s">
        <v>25</v>
      </c>
      <c r="D104" s="4" t="s">
        <v>43</v>
      </c>
      <c r="E104" s="4" t="s">
        <v>17</v>
      </c>
      <c r="F104" s="4" t="s">
        <v>128</v>
      </c>
    </row>
    <row r="105" spans="1:6">
      <c r="A105" s="8">
        <v>45757</v>
      </c>
      <c r="B105" s="4" t="s">
        <v>127</v>
      </c>
      <c r="C105" s="4" t="s">
        <v>25</v>
      </c>
      <c r="D105" s="4" t="s">
        <v>43</v>
      </c>
      <c r="E105" s="4" t="s">
        <v>17</v>
      </c>
      <c r="F105" s="4" t="s">
        <v>128</v>
      </c>
    </row>
    <row r="106" spans="1:6">
      <c r="A106" s="8">
        <v>45758</v>
      </c>
      <c r="B106" s="4" t="s">
        <v>127</v>
      </c>
      <c r="C106" s="4" t="s">
        <v>25</v>
      </c>
      <c r="D106" s="4" t="s">
        <v>43</v>
      </c>
      <c r="E106" s="3" t="s">
        <v>13</v>
      </c>
      <c r="F106" s="4" t="s">
        <v>128</v>
      </c>
    </row>
    <row r="107" spans="1:6">
      <c r="A107" s="2">
        <v>45759</v>
      </c>
      <c r="B107" s="3" t="s">
        <v>16</v>
      </c>
      <c r="C107" s="3"/>
      <c r="D107" s="3" t="s">
        <v>128</v>
      </c>
      <c r="E107" s="3" t="s">
        <v>13</v>
      </c>
      <c r="F107" s="3"/>
    </row>
    <row r="108" spans="1:6">
      <c r="A108" s="2">
        <v>45760</v>
      </c>
      <c r="B108" s="3" t="s">
        <v>16</v>
      </c>
      <c r="C108" s="3"/>
      <c r="D108" s="3" t="s">
        <v>128</v>
      </c>
      <c r="E108" s="3" t="s">
        <v>13</v>
      </c>
      <c r="F108" s="3"/>
    </row>
    <row r="109" spans="1:6">
      <c r="A109" s="8">
        <v>45761</v>
      </c>
      <c r="B109" s="4" t="s">
        <v>16</v>
      </c>
      <c r="C109" s="4" t="s">
        <v>20</v>
      </c>
      <c r="D109" s="4" t="s">
        <v>128</v>
      </c>
      <c r="E109" s="4" t="s">
        <v>127</v>
      </c>
      <c r="F109" s="4" t="s">
        <v>133</v>
      </c>
    </row>
    <row r="110" spans="1:6">
      <c r="A110" s="8">
        <v>45762</v>
      </c>
      <c r="B110" s="4" t="s">
        <v>16</v>
      </c>
      <c r="C110" s="4" t="s">
        <v>20</v>
      </c>
      <c r="D110" s="4" t="s">
        <v>128</v>
      </c>
      <c r="E110" s="4" t="s">
        <v>127</v>
      </c>
      <c r="F110" s="4" t="s">
        <v>133</v>
      </c>
    </row>
    <row r="111" spans="1:6">
      <c r="A111" s="8">
        <v>45763</v>
      </c>
      <c r="B111" s="4" t="s">
        <v>16</v>
      </c>
      <c r="C111" s="4" t="s">
        <v>20</v>
      </c>
      <c r="D111" s="4" t="s">
        <v>128</v>
      </c>
      <c r="E111" s="4" t="s">
        <v>127</v>
      </c>
      <c r="F111" s="4" t="s">
        <v>133</v>
      </c>
    </row>
    <row r="112" spans="1:6">
      <c r="A112" s="8">
        <v>45764</v>
      </c>
      <c r="B112" s="4" t="s">
        <v>16</v>
      </c>
      <c r="C112" s="4" t="s">
        <v>20</v>
      </c>
      <c r="D112" s="4" t="s">
        <v>128</v>
      </c>
      <c r="E112" s="4" t="s">
        <v>127</v>
      </c>
      <c r="F112" s="4" t="s">
        <v>133</v>
      </c>
    </row>
    <row r="113" spans="1:6">
      <c r="A113" s="8">
        <v>45765</v>
      </c>
      <c r="B113" s="4" t="s">
        <v>16</v>
      </c>
      <c r="C113" s="4" t="s">
        <v>20</v>
      </c>
      <c r="D113" s="4" t="s">
        <v>128</v>
      </c>
      <c r="E113" s="3" t="s">
        <v>17</v>
      </c>
      <c r="F113" s="4" t="s">
        <v>133</v>
      </c>
    </row>
    <row r="114" spans="1:6">
      <c r="A114" s="2">
        <v>45766</v>
      </c>
      <c r="B114" s="3" t="s">
        <v>22</v>
      </c>
      <c r="C114" s="3"/>
      <c r="D114" s="3" t="s">
        <v>20</v>
      </c>
      <c r="E114" s="3" t="s">
        <v>17</v>
      </c>
      <c r="F114" s="3"/>
    </row>
    <row r="115" spans="1:6">
      <c r="A115" s="2">
        <v>45767</v>
      </c>
      <c r="B115" s="3" t="s">
        <v>22</v>
      </c>
      <c r="C115" s="3"/>
      <c r="D115" s="3" t="s">
        <v>20</v>
      </c>
      <c r="E115" s="3" t="s">
        <v>17</v>
      </c>
      <c r="F115" s="3"/>
    </row>
    <row r="116" spans="1:6">
      <c r="A116" s="8">
        <v>45768</v>
      </c>
      <c r="B116" s="4" t="s">
        <v>26</v>
      </c>
      <c r="C116" s="4" t="s">
        <v>25</v>
      </c>
      <c r="D116" s="4" t="s">
        <v>43</v>
      </c>
      <c r="E116" s="4" t="s">
        <v>13</v>
      </c>
      <c r="F116" s="4" t="s">
        <v>42</v>
      </c>
    </row>
    <row r="117" spans="1:6">
      <c r="A117" s="8">
        <v>45769</v>
      </c>
      <c r="B117" s="4" t="s">
        <v>26</v>
      </c>
      <c r="C117" s="4" t="s">
        <v>25</v>
      </c>
      <c r="D117" s="4" t="s">
        <v>43</v>
      </c>
      <c r="E117" s="4" t="s">
        <v>13</v>
      </c>
      <c r="F117" s="4" t="s">
        <v>42</v>
      </c>
    </row>
    <row r="118" spans="1:6">
      <c r="A118" s="8">
        <v>45770</v>
      </c>
      <c r="B118" s="4" t="s">
        <v>26</v>
      </c>
      <c r="C118" s="4" t="s">
        <v>25</v>
      </c>
      <c r="D118" s="4" t="s">
        <v>43</v>
      </c>
      <c r="E118" s="4" t="s">
        <v>13</v>
      </c>
      <c r="F118" s="4" t="s">
        <v>42</v>
      </c>
    </row>
    <row r="119" spans="1:6">
      <c r="A119" s="8">
        <v>45771</v>
      </c>
      <c r="B119" s="4" t="s">
        <v>26</v>
      </c>
      <c r="C119" s="4" t="s">
        <v>25</v>
      </c>
      <c r="D119" s="4" t="s">
        <v>43</v>
      </c>
      <c r="E119" s="4" t="s">
        <v>13</v>
      </c>
      <c r="F119" s="4" t="s">
        <v>42</v>
      </c>
    </row>
    <row r="120" spans="1:6">
      <c r="A120" s="8">
        <v>45772</v>
      </c>
      <c r="B120" s="4" t="s">
        <v>26</v>
      </c>
      <c r="C120" s="4" t="s">
        <v>25</v>
      </c>
      <c r="D120" s="4" t="s">
        <v>43</v>
      </c>
      <c r="E120" s="3" t="s">
        <v>127</v>
      </c>
      <c r="F120" s="4" t="s">
        <v>42</v>
      </c>
    </row>
    <row r="121" spans="1:6">
      <c r="A121" s="2">
        <v>45773</v>
      </c>
      <c r="B121" s="3" t="s">
        <v>20</v>
      </c>
      <c r="C121" s="3"/>
      <c r="D121" s="3" t="s">
        <v>14</v>
      </c>
      <c r="E121" s="3" t="s">
        <v>127</v>
      </c>
      <c r="F121" s="3"/>
    </row>
    <row r="122" spans="1:6">
      <c r="A122" s="2">
        <v>45774</v>
      </c>
      <c r="B122" s="3" t="s">
        <v>20</v>
      </c>
      <c r="C122" s="3"/>
      <c r="D122" s="3" t="s">
        <v>14</v>
      </c>
      <c r="E122" s="3" t="s">
        <v>127</v>
      </c>
      <c r="F122" s="3"/>
    </row>
    <row r="123" spans="1:6">
      <c r="A123" s="8">
        <v>45775</v>
      </c>
      <c r="B123" s="4" t="s">
        <v>20</v>
      </c>
      <c r="C123" s="4" t="s">
        <v>14</v>
      </c>
      <c r="D123" s="4" t="s">
        <v>128</v>
      </c>
      <c r="E123" s="4" t="s">
        <v>17</v>
      </c>
      <c r="F123" s="4" t="s">
        <v>22</v>
      </c>
    </row>
    <row r="124" spans="1:6">
      <c r="A124" s="8">
        <v>45776</v>
      </c>
      <c r="B124" s="4" t="s">
        <v>134</v>
      </c>
      <c r="C124" s="4" t="s">
        <v>14</v>
      </c>
      <c r="D124" s="4" t="s">
        <v>128</v>
      </c>
      <c r="E124" s="4" t="s">
        <v>17</v>
      </c>
      <c r="F124" s="4" t="s">
        <v>22</v>
      </c>
    </row>
    <row r="125" spans="1:6">
      <c r="A125" s="8">
        <v>45777</v>
      </c>
      <c r="B125" s="4" t="s">
        <v>19</v>
      </c>
      <c r="C125" s="4" t="s">
        <v>14</v>
      </c>
      <c r="D125" s="4" t="s">
        <v>128</v>
      </c>
      <c r="E125" s="4" t="s">
        <v>17</v>
      </c>
      <c r="F125" s="4" t="s">
        <v>22</v>
      </c>
    </row>
    <row r="126" spans="1:6">
      <c r="A126" s="9" t="s">
        <v>137</v>
      </c>
      <c r="B126" s="9" t="s">
        <v>137</v>
      </c>
      <c r="C126" s="9" t="s">
        <v>137</v>
      </c>
      <c r="D126" s="9" t="s">
        <v>137</v>
      </c>
      <c r="E126" s="9" t="s">
        <v>137</v>
      </c>
      <c r="F126" s="9" t="s">
        <v>137</v>
      </c>
    </row>
    <row r="127" spans="1:6">
      <c r="A127" s="8">
        <v>45778</v>
      </c>
      <c r="B127" s="4" t="s">
        <v>43</v>
      </c>
      <c r="C127" s="4" t="s">
        <v>14</v>
      </c>
      <c r="D127" s="4" t="s">
        <v>128</v>
      </c>
      <c r="E127" s="4" t="s">
        <v>17</v>
      </c>
      <c r="F127" s="4" t="s">
        <v>22</v>
      </c>
    </row>
    <row r="128" spans="1:6">
      <c r="A128" s="8">
        <v>45779</v>
      </c>
      <c r="B128" s="4" t="s">
        <v>27</v>
      </c>
      <c r="C128" s="4" t="s">
        <v>14</v>
      </c>
      <c r="D128" s="4" t="s">
        <v>128</v>
      </c>
      <c r="E128" s="3" t="s">
        <v>13</v>
      </c>
      <c r="F128" s="4" t="s">
        <v>22</v>
      </c>
    </row>
    <row r="129" spans="1:6">
      <c r="A129" s="2">
        <v>45780</v>
      </c>
      <c r="B129" s="3" t="s">
        <v>18</v>
      </c>
      <c r="C129" s="3"/>
      <c r="D129" s="3" t="s">
        <v>43</v>
      </c>
      <c r="E129" s="3" t="s">
        <v>13</v>
      </c>
      <c r="F129" s="3"/>
    </row>
    <row r="130" spans="1:6">
      <c r="A130" s="2">
        <v>45781</v>
      </c>
      <c r="B130" s="3" t="s">
        <v>18</v>
      </c>
      <c r="C130" s="3"/>
      <c r="D130" s="3" t="s">
        <v>43</v>
      </c>
      <c r="E130" s="3" t="s">
        <v>13</v>
      </c>
      <c r="F130" s="3"/>
    </row>
    <row r="131" spans="1:6">
      <c r="A131" s="8">
        <v>45782</v>
      </c>
      <c r="B131" s="4" t="s">
        <v>14</v>
      </c>
      <c r="C131" s="4" t="s">
        <v>19</v>
      </c>
      <c r="D131" s="4" t="s">
        <v>134</v>
      </c>
      <c r="E131" s="4" t="s">
        <v>127</v>
      </c>
      <c r="F131" s="4" t="s">
        <v>101</v>
      </c>
    </row>
    <row r="132" spans="1:6">
      <c r="A132" s="8">
        <v>45783</v>
      </c>
      <c r="B132" s="4" t="s">
        <v>14</v>
      </c>
      <c r="C132" s="4" t="s">
        <v>43</v>
      </c>
      <c r="D132" s="4" t="s">
        <v>134</v>
      </c>
      <c r="E132" s="4" t="s">
        <v>127</v>
      </c>
      <c r="F132" s="4" t="s">
        <v>101</v>
      </c>
    </row>
    <row r="133" spans="1:6">
      <c r="A133" s="8">
        <v>45784</v>
      </c>
      <c r="B133" s="4" t="s">
        <v>14</v>
      </c>
      <c r="C133" s="4" t="s">
        <v>22</v>
      </c>
      <c r="D133" s="4" t="s">
        <v>134</v>
      </c>
      <c r="E133" s="4" t="s">
        <v>127</v>
      </c>
      <c r="F133" s="4" t="s">
        <v>101</v>
      </c>
    </row>
    <row r="134" spans="1:6">
      <c r="A134" s="8">
        <v>45785</v>
      </c>
      <c r="B134" s="4" t="s">
        <v>14</v>
      </c>
      <c r="C134" s="4" t="s">
        <v>22</v>
      </c>
      <c r="D134" s="4" t="s">
        <v>134</v>
      </c>
      <c r="E134" s="4" t="s">
        <v>127</v>
      </c>
      <c r="F134" s="4" t="s">
        <v>101</v>
      </c>
    </row>
    <row r="135" spans="1:6">
      <c r="A135" s="8">
        <v>45786</v>
      </c>
      <c r="B135" s="4" t="s">
        <v>14</v>
      </c>
      <c r="C135" s="4" t="s">
        <v>22</v>
      </c>
      <c r="D135" s="4" t="s">
        <v>134</v>
      </c>
      <c r="E135" s="3" t="s">
        <v>17</v>
      </c>
      <c r="F135" s="4" t="s">
        <v>101</v>
      </c>
    </row>
    <row r="136" spans="1:6">
      <c r="A136" s="2">
        <v>45787</v>
      </c>
      <c r="B136" s="3" t="s">
        <v>26</v>
      </c>
      <c r="C136" s="3"/>
      <c r="D136" s="3" t="s">
        <v>134</v>
      </c>
      <c r="E136" s="3" t="s">
        <v>17</v>
      </c>
      <c r="F136" s="3"/>
    </row>
    <row r="137" spans="1:6">
      <c r="A137" s="2">
        <v>45788</v>
      </c>
      <c r="B137" s="3" t="s">
        <v>26</v>
      </c>
      <c r="C137" s="3"/>
      <c r="D137" s="3" t="s">
        <v>134</v>
      </c>
      <c r="E137" s="3" t="s">
        <v>17</v>
      </c>
      <c r="F137" s="3"/>
    </row>
    <row r="138" spans="1:6">
      <c r="A138" s="8">
        <v>45789</v>
      </c>
      <c r="B138" s="4" t="s">
        <v>13</v>
      </c>
      <c r="C138" s="4" t="s">
        <v>16</v>
      </c>
      <c r="D138" s="4" t="s">
        <v>18</v>
      </c>
      <c r="E138" s="4" t="s">
        <v>20</v>
      </c>
      <c r="F138" s="4" t="s">
        <v>127</v>
      </c>
    </row>
    <row r="139" spans="1:6">
      <c r="A139" s="8">
        <v>45790</v>
      </c>
      <c r="B139" s="4" t="s">
        <v>13</v>
      </c>
      <c r="C139" s="4" t="s">
        <v>16</v>
      </c>
      <c r="D139" s="4" t="s">
        <v>18</v>
      </c>
      <c r="E139" s="4" t="s">
        <v>20</v>
      </c>
      <c r="F139" s="4" t="s">
        <v>127</v>
      </c>
    </row>
    <row r="140" spans="1:6">
      <c r="A140" s="8">
        <v>45791</v>
      </c>
      <c r="B140" s="4" t="s">
        <v>13</v>
      </c>
      <c r="C140" s="4" t="s">
        <v>16</v>
      </c>
      <c r="D140" s="4" t="s">
        <v>18</v>
      </c>
      <c r="E140" s="4" t="s">
        <v>20</v>
      </c>
      <c r="F140" s="4" t="s">
        <v>127</v>
      </c>
    </row>
    <row r="141" spans="1:6">
      <c r="A141" s="8">
        <v>45792</v>
      </c>
      <c r="B141" s="4" t="s">
        <v>13</v>
      </c>
      <c r="C141" s="4" t="s">
        <v>16</v>
      </c>
      <c r="D141" s="4" t="s">
        <v>18</v>
      </c>
      <c r="E141" s="4" t="s">
        <v>20</v>
      </c>
      <c r="F141" s="4" t="s">
        <v>127</v>
      </c>
    </row>
    <row r="142" spans="1:6">
      <c r="A142" s="8">
        <v>45793</v>
      </c>
      <c r="B142" s="4" t="s">
        <v>13</v>
      </c>
      <c r="C142" s="4" t="s">
        <v>16</v>
      </c>
      <c r="D142" s="4" t="s">
        <v>18</v>
      </c>
      <c r="E142" s="3" t="s">
        <v>20</v>
      </c>
      <c r="F142" s="4" t="s">
        <v>127</v>
      </c>
    </row>
    <row r="143" spans="1:6">
      <c r="A143" s="2">
        <v>45794</v>
      </c>
      <c r="B143" s="3" t="s">
        <v>16</v>
      </c>
      <c r="C143" s="3"/>
      <c r="D143" s="3" t="s">
        <v>19</v>
      </c>
      <c r="E143" s="3" t="s">
        <v>20</v>
      </c>
      <c r="F143" s="3"/>
    </row>
    <row r="144" spans="1:6">
      <c r="A144" s="2">
        <v>45795</v>
      </c>
      <c r="B144" s="3" t="s">
        <v>16</v>
      </c>
      <c r="C144" s="3"/>
      <c r="D144" s="3" t="s">
        <v>19</v>
      </c>
      <c r="E144" s="3" t="s">
        <v>20</v>
      </c>
      <c r="F144" s="3"/>
    </row>
    <row r="145" spans="1:6">
      <c r="A145" s="8">
        <v>45796</v>
      </c>
      <c r="B145" s="4" t="s">
        <v>14</v>
      </c>
      <c r="C145" s="4" t="s">
        <v>27</v>
      </c>
      <c r="D145" s="4" t="s">
        <v>26</v>
      </c>
      <c r="E145" s="19" t="s">
        <v>14</v>
      </c>
      <c r="F145" s="4" t="s">
        <v>131</v>
      </c>
    </row>
    <row r="146" spans="1:6">
      <c r="A146" s="8">
        <v>45797</v>
      </c>
      <c r="B146" s="4" t="s">
        <v>14</v>
      </c>
      <c r="C146" s="4" t="s">
        <v>27</v>
      </c>
      <c r="D146" s="4" t="s">
        <v>26</v>
      </c>
      <c r="E146" s="19" t="s">
        <v>130</v>
      </c>
      <c r="F146" s="4" t="s">
        <v>131</v>
      </c>
    </row>
    <row r="147" spans="1:6">
      <c r="A147" s="8">
        <v>45798</v>
      </c>
      <c r="B147" s="4" t="s">
        <v>14</v>
      </c>
      <c r="C147" s="4" t="s">
        <v>27</v>
      </c>
      <c r="D147" s="4" t="s">
        <v>26</v>
      </c>
      <c r="E147" s="19" t="s">
        <v>18</v>
      </c>
      <c r="F147" s="4" t="s">
        <v>131</v>
      </c>
    </row>
    <row r="148" spans="1:6">
      <c r="A148" s="8">
        <v>45799</v>
      </c>
      <c r="B148" s="4" t="s">
        <v>14</v>
      </c>
      <c r="C148" s="4" t="s">
        <v>27</v>
      </c>
      <c r="D148" s="4" t="s">
        <v>26</v>
      </c>
      <c r="E148" s="19" t="s">
        <v>134</v>
      </c>
      <c r="F148" s="4" t="s">
        <v>131</v>
      </c>
    </row>
    <row r="149" spans="1:6">
      <c r="A149" s="8">
        <v>45800</v>
      </c>
      <c r="B149" s="4" t="s">
        <v>14</v>
      </c>
      <c r="C149" s="4" t="s">
        <v>27</v>
      </c>
      <c r="D149" s="4" t="s">
        <v>26</v>
      </c>
      <c r="E149" s="3" t="s">
        <v>18</v>
      </c>
      <c r="F149" s="4" t="s">
        <v>131</v>
      </c>
    </row>
    <row r="150" spans="1:6">
      <c r="A150" s="2">
        <v>45801</v>
      </c>
      <c r="B150" s="3" t="s">
        <v>26</v>
      </c>
      <c r="C150" s="3"/>
      <c r="D150" s="3" t="s">
        <v>127</v>
      </c>
      <c r="E150" s="3" t="s">
        <v>18</v>
      </c>
      <c r="F150" s="3"/>
    </row>
    <row r="151" spans="1:6">
      <c r="A151" s="2">
        <v>45802</v>
      </c>
      <c r="B151" s="3" t="s">
        <v>26</v>
      </c>
      <c r="C151" s="3"/>
      <c r="D151" s="3" t="s">
        <v>127</v>
      </c>
      <c r="E151" s="3" t="s">
        <v>18</v>
      </c>
      <c r="F151" s="3"/>
    </row>
    <row r="152" spans="1:6">
      <c r="A152" s="7">
        <v>45803</v>
      </c>
      <c r="B152" s="10" t="s">
        <v>26</v>
      </c>
      <c r="C152" s="10"/>
      <c r="D152" s="10" t="s">
        <v>14</v>
      </c>
      <c r="E152" s="17" t="s">
        <v>42</v>
      </c>
      <c r="F152" s="10"/>
    </row>
    <row r="153" spans="1:6">
      <c r="A153" s="8">
        <v>45804</v>
      </c>
      <c r="B153" s="4" t="s">
        <v>26</v>
      </c>
      <c r="C153" s="4" t="s">
        <v>13</v>
      </c>
      <c r="D153" s="4" t="s">
        <v>14</v>
      </c>
      <c r="E153" s="16" t="s">
        <v>42</v>
      </c>
      <c r="F153" s="4" t="s">
        <v>130</v>
      </c>
    </row>
    <row r="154" spans="1:6">
      <c r="A154" s="8">
        <v>45805</v>
      </c>
      <c r="B154" s="4" t="s">
        <v>26</v>
      </c>
      <c r="C154" s="4" t="s">
        <v>13</v>
      </c>
      <c r="D154" s="4" t="s">
        <v>14</v>
      </c>
      <c r="E154" s="4" t="s">
        <v>42</v>
      </c>
      <c r="F154" s="4" t="s">
        <v>130</v>
      </c>
    </row>
    <row r="155" spans="1:6">
      <c r="A155" s="8">
        <v>45806</v>
      </c>
      <c r="B155" s="4" t="s">
        <v>26</v>
      </c>
      <c r="C155" s="4" t="s">
        <v>13</v>
      </c>
      <c r="D155" s="4" t="s">
        <v>14</v>
      </c>
      <c r="E155" s="4" t="s">
        <v>42</v>
      </c>
      <c r="F155" s="4" t="s">
        <v>130</v>
      </c>
    </row>
    <row r="156" spans="1:6">
      <c r="A156" s="8">
        <v>45807</v>
      </c>
      <c r="B156" s="4" t="s">
        <v>26</v>
      </c>
      <c r="C156" s="4" t="s">
        <v>13</v>
      </c>
      <c r="D156" s="4" t="s">
        <v>14</v>
      </c>
      <c r="E156" s="19" t="s">
        <v>20</v>
      </c>
      <c r="F156" s="4" t="s">
        <v>130</v>
      </c>
    </row>
    <row r="157" spans="1:6">
      <c r="A157" s="2">
        <v>45808</v>
      </c>
      <c r="B157" s="3" t="s">
        <v>13</v>
      </c>
      <c r="C157" s="3"/>
      <c r="D157" s="3" t="s">
        <v>14</v>
      </c>
      <c r="E157" s="19" t="s">
        <v>20</v>
      </c>
      <c r="F157" s="3"/>
    </row>
    <row r="158" spans="1:6">
      <c r="A158" s="9" t="s">
        <v>138</v>
      </c>
      <c r="B158" s="9" t="s">
        <v>138</v>
      </c>
      <c r="C158" s="9" t="s">
        <v>138</v>
      </c>
      <c r="D158" s="9" t="s">
        <v>138</v>
      </c>
      <c r="E158" s="9" t="s">
        <v>138</v>
      </c>
      <c r="F158" s="9" t="s">
        <v>138</v>
      </c>
    </row>
    <row r="159" spans="1:6">
      <c r="A159" s="2">
        <v>45809</v>
      </c>
      <c r="B159" s="3" t="s">
        <v>13</v>
      </c>
      <c r="C159" s="3"/>
      <c r="D159" s="3" t="s">
        <v>133</v>
      </c>
      <c r="E159" s="19" t="s">
        <v>42</v>
      </c>
      <c r="F159" s="3"/>
    </row>
    <row r="160" spans="1:6">
      <c r="A160" s="8">
        <v>45810</v>
      </c>
      <c r="B160" s="4" t="s">
        <v>19</v>
      </c>
      <c r="C160" s="4" t="s">
        <v>127</v>
      </c>
      <c r="D160" s="4" t="s">
        <v>13</v>
      </c>
      <c r="E160" s="4" t="s">
        <v>18</v>
      </c>
      <c r="F160" s="4"/>
    </row>
    <row r="161" spans="1:7">
      <c r="A161" s="8">
        <v>45811</v>
      </c>
      <c r="B161" s="4" t="s">
        <v>19</v>
      </c>
      <c r="C161" s="4" t="s">
        <v>127</v>
      </c>
      <c r="D161" s="4" t="s">
        <v>13</v>
      </c>
      <c r="E161" s="4" t="s">
        <v>18</v>
      </c>
      <c r="F161" s="4"/>
    </row>
    <row r="162" spans="1:7">
      <c r="A162" s="8">
        <v>45812</v>
      </c>
      <c r="B162" s="4" t="s">
        <v>19</v>
      </c>
      <c r="C162" s="4" t="s">
        <v>127</v>
      </c>
      <c r="D162" s="4" t="s">
        <v>13</v>
      </c>
      <c r="E162" s="4" t="s">
        <v>18</v>
      </c>
      <c r="F162" s="4"/>
    </row>
    <row r="163" spans="1:7">
      <c r="A163" s="8">
        <v>45813</v>
      </c>
      <c r="B163" s="4" t="s">
        <v>19</v>
      </c>
      <c r="C163" s="4" t="s">
        <v>127</v>
      </c>
      <c r="D163" s="4" t="s">
        <v>13</v>
      </c>
      <c r="E163" s="4" t="s">
        <v>18</v>
      </c>
      <c r="F163" s="4"/>
    </row>
    <row r="164" spans="1:7">
      <c r="A164" s="8">
        <v>45814</v>
      </c>
      <c r="B164" s="4" t="s">
        <v>19</v>
      </c>
      <c r="C164" s="4" t="s">
        <v>127</v>
      </c>
      <c r="D164" s="4" t="s">
        <v>13</v>
      </c>
      <c r="E164" s="3"/>
      <c r="F164" s="4"/>
    </row>
    <row r="165" spans="1:7">
      <c r="A165" s="2">
        <v>45815</v>
      </c>
      <c r="B165" s="3" t="s">
        <v>127</v>
      </c>
      <c r="C165" s="3"/>
      <c r="D165" s="3" t="s">
        <v>19</v>
      </c>
      <c r="E165" s="3"/>
      <c r="F165" s="3"/>
    </row>
    <row r="166" spans="1:7">
      <c r="A166" s="2">
        <v>45816</v>
      </c>
      <c r="B166" s="3" t="s">
        <v>127</v>
      </c>
      <c r="C166" s="3"/>
      <c r="D166" s="3" t="s">
        <v>19</v>
      </c>
      <c r="E166" s="3"/>
      <c r="F166" s="3"/>
    </row>
    <row r="167" spans="1:7">
      <c r="A167" s="8">
        <v>45817</v>
      </c>
      <c r="B167" s="4" t="s">
        <v>17</v>
      </c>
      <c r="C167" s="4" t="s">
        <v>14</v>
      </c>
      <c r="D167" s="4" t="s">
        <v>20</v>
      </c>
      <c r="E167" s="4"/>
      <c r="F167" s="4" t="s">
        <v>13</v>
      </c>
    </row>
    <row r="168" spans="1:7">
      <c r="A168" s="8">
        <v>45818</v>
      </c>
      <c r="B168" s="4" t="s">
        <v>17</v>
      </c>
      <c r="C168" s="4" t="s">
        <v>14</v>
      </c>
      <c r="D168" s="4" t="s">
        <v>20</v>
      </c>
      <c r="E168" s="4"/>
      <c r="F168" s="4" t="s">
        <v>13</v>
      </c>
    </row>
    <row r="169" spans="1:7">
      <c r="A169" s="8">
        <v>45819</v>
      </c>
      <c r="B169" s="4" t="s">
        <v>17</v>
      </c>
      <c r="C169" s="4" t="s">
        <v>14</v>
      </c>
      <c r="D169" s="4" t="s">
        <v>20</v>
      </c>
      <c r="E169" s="4"/>
      <c r="F169" s="4" t="s">
        <v>13</v>
      </c>
    </row>
    <row r="170" spans="1:7">
      <c r="A170" s="8">
        <v>45820</v>
      </c>
      <c r="B170" s="4" t="s">
        <v>17</v>
      </c>
      <c r="C170" s="4" t="s">
        <v>14</v>
      </c>
      <c r="D170" s="4" t="s">
        <v>20</v>
      </c>
      <c r="E170" s="4"/>
      <c r="F170" s="4" t="s">
        <v>13</v>
      </c>
    </row>
    <row r="171" spans="1:7">
      <c r="A171" s="8">
        <v>45821</v>
      </c>
      <c r="B171" s="4" t="s">
        <v>17</v>
      </c>
      <c r="C171" s="4" t="s">
        <v>14</v>
      </c>
      <c r="D171" s="4" t="s">
        <v>20</v>
      </c>
      <c r="E171" s="3"/>
      <c r="F171" s="4" t="s">
        <v>13</v>
      </c>
    </row>
    <row r="172" spans="1:7">
      <c r="A172" s="2">
        <v>45822</v>
      </c>
      <c r="B172" s="3" t="s">
        <v>17</v>
      </c>
      <c r="C172" s="3"/>
      <c r="D172" s="3" t="s">
        <v>128</v>
      </c>
      <c r="E172" s="3"/>
      <c r="F172" s="3"/>
    </row>
    <row r="173" spans="1:7">
      <c r="A173" s="2">
        <v>45823</v>
      </c>
      <c r="B173" s="3" t="s">
        <v>17</v>
      </c>
      <c r="C173" s="3"/>
      <c r="D173" s="3" t="s">
        <v>128</v>
      </c>
      <c r="E173" s="3"/>
      <c r="F173" s="3"/>
    </row>
    <row r="174" spans="1:7">
      <c r="A174" s="8">
        <v>45824</v>
      </c>
      <c r="B174" s="4" t="s">
        <v>47</v>
      </c>
      <c r="C174" s="4" t="s">
        <v>18</v>
      </c>
      <c r="D174" s="4" t="s">
        <v>128</v>
      </c>
      <c r="E174" s="4"/>
      <c r="F174" s="4"/>
    </row>
    <row r="175" spans="1:7">
      <c r="A175" s="8">
        <v>45825</v>
      </c>
      <c r="B175" s="4" t="s">
        <v>47</v>
      </c>
      <c r="C175" s="4" t="s">
        <v>18</v>
      </c>
      <c r="D175" s="4" t="s">
        <v>128</v>
      </c>
      <c r="E175" s="4"/>
      <c r="F175" s="4"/>
    </row>
    <row r="176" spans="1:7">
      <c r="A176" s="8">
        <v>45826</v>
      </c>
      <c r="B176" s="4" t="s">
        <v>47</v>
      </c>
      <c r="C176" s="4" t="s">
        <v>18</v>
      </c>
      <c r="D176" s="4" t="s">
        <v>128</v>
      </c>
      <c r="E176" s="4"/>
      <c r="F176" s="4"/>
      <c r="G176" t="s">
        <v>139</v>
      </c>
    </row>
    <row r="177" spans="1:7">
      <c r="A177" s="8">
        <v>45827</v>
      </c>
      <c r="B177" s="4" t="s">
        <v>47</v>
      </c>
      <c r="C177" s="4" t="s">
        <v>18</v>
      </c>
      <c r="D177" s="4" t="s">
        <v>128</v>
      </c>
      <c r="E177" s="4"/>
      <c r="F177" s="4"/>
      <c r="G177" t="s">
        <v>140</v>
      </c>
    </row>
    <row r="178" spans="1:7">
      <c r="A178" s="8">
        <v>45828</v>
      </c>
      <c r="B178" s="4" t="s">
        <v>47</v>
      </c>
      <c r="C178" s="4" t="s">
        <v>18</v>
      </c>
      <c r="D178" s="4" t="s">
        <v>128</v>
      </c>
      <c r="E178" s="19"/>
      <c r="F178" s="4"/>
      <c r="G178" t="s">
        <v>140</v>
      </c>
    </row>
    <row r="179" spans="1:7">
      <c r="A179" s="2">
        <v>45829</v>
      </c>
      <c r="B179" s="3" t="s">
        <v>19</v>
      </c>
      <c r="C179" s="3"/>
      <c r="D179" s="3" t="s">
        <v>13</v>
      </c>
      <c r="E179" s="3"/>
      <c r="F179" s="3"/>
      <c r="G179" s="3" t="s">
        <v>140</v>
      </c>
    </row>
    <row r="180" spans="1:7">
      <c r="A180" s="2">
        <v>45830</v>
      </c>
      <c r="B180" s="3" t="s">
        <v>19</v>
      </c>
      <c r="C180" s="3"/>
      <c r="D180" s="3" t="s">
        <v>13</v>
      </c>
      <c r="E180" s="3"/>
      <c r="F180" s="3"/>
      <c r="G180" s="3" t="s">
        <v>140</v>
      </c>
    </row>
    <row r="181" spans="1:7">
      <c r="A181" s="8">
        <v>45831</v>
      </c>
      <c r="B181" s="4" t="s">
        <v>16</v>
      </c>
      <c r="C181" s="4" t="s">
        <v>19</v>
      </c>
      <c r="D181" s="4" t="s">
        <v>17</v>
      </c>
      <c r="E181" s="4" t="s">
        <v>20</v>
      </c>
      <c r="F181" s="4" t="s">
        <v>133</v>
      </c>
      <c r="G181" s="4" t="s">
        <v>140</v>
      </c>
    </row>
    <row r="182" spans="1:7">
      <c r="A182" s="8">
        <v>45832</v>
      </c>
      <c r="B182" s="4" t="s">
        <v>16</v>
      </c>
      <c r="C182" s="4" t="s">
        <v>19</v>
      </c>
      <c r="D182" s="4" t="s">
        <v>17</v>
      </c>
      <c r="E182" s="4" t="s">
        <v>20</v>
      </c>
      <c r="F182" s="4" t="s">
        <v>133</v>
      </c>
      <c r="G182" s="4" t="s">
        <v>140</v>
      </c>
    </row>
    <row r="183" spans="1:7">
      <c r="A183" s="8">
        <v>45833</v>
      </c>
      <c r="B183" s="4" t="s">
        <v>16</v>
      </c>
      <c r="C183" s="4" t="s">
        <v>19</v>
      </c>
      <c r="D183" s="4" t="s">
        <v>17</v>
      </c>
      <c r="E183" s="4" t="s">
        <v>20</v>
      </c>
      <c r="F183" s="4" t="s">
        <v>133</v>
      </c>
      <c r="G183" s="4" t="s">
        <v>140</v>
      </c>
    </row>
    <row r="184" spans="1:7">
      <c r="A184" s="8">
        <v>45834</v>
      </c>
      <c r="B184" s="4" t="s">
        <v>16</v>
      </c>
      <c r="C184" s="4" t="s">
        <v>19</v>
      </c>
      <c r="D184" s="4" t="s">
        <v>17</v>
      </c>
      <c r="E184" s="4" t="s">
        <v>20</v>
      </c>
      <c r="F184" s="4" t="s">
        <v>133</v>
      </c>
      <c r="G184" s="4" t="s">
        <v>140</v>
      </c>
    </row>
    <row r="185" spans="1:7">
      <c r="A185" s="8">
        <v>45835</v>
      </c>
      <c r="B185" s="4" t="s">
        <v>16</v>
      </c>
      <c r="C185" s="4" t="s">
        <v>19</v>
      </c>
      <c r="D185" s="4" t="s">
        <v>17</v>
      </c>
      <c r="E185" s="3"/>
      <c r="F185" s="4" t="s">
        <v>133</v>
      </c>
      <c r="G185" s="4" t="s">
        <v>140</v>
      </c>
    </row>
    <row r="186" spans="1:7">
      <c r="A186" s="2">
        <v>45836</v>
      </c>
      <c r="B186" s="3" t="s">
        <v>16</v>
      </c>
      <c r="C186" s="3"/>
      <c r="D186" s="3" t="s">
        <v>14</v>
      </c>
      <c r="E186" s="3"/>
      <c r="F186" s="3"/>
      <c r="G186" s="3" t="s">
        <v>140</v>
      </c>
    </row>
    <row r="187" spans="1:7">
      <c r="A187" s="2">
        <v>45837</v>
      </c>
      <c r="B187" s="3" t="s">
        <v>16</v>
      </c>
      <c r="C187" s="3"/>
      <c r="D187" s="3" t="s">
        <v>14</v>
      </c>
      <c r="E187" s="3"/>
      <c r="F187" s="3"/>
      <c r="G187" s="3" t="s">
        <v>140</v>
      </c>
    </row>
    <row r="188" spans="1:7">
      <c r="A188" s="8">
        <v>45838</v>
      </c>
      <c r="B188" s="4" t="s">
        <v>20</v>
      </c>
      <c r="C188" s="4" t="s">
        <v>26</v>
      </c>
      <c r="D188" s="4" t="s">
        <v>14</v>
      </c>
      <c r="E188" s="4"/>
      <c r="F188" s="4" t="s">
        <v>131</v>
      </c>
      <c r="G188" s="4" t="s">
        <v>141</v>
      </c>
    </row>
    <row r="189" spans="1:7">
      <c r="A189" s="9" t="s">
        <v>142</v>
      </c>
      <c r="B189" s="9" t="s">
        <v>142</v>
      </c>
      <c r="C189" s="9" t="s">
        <v>142</v>
      </c>
      <c r="D189" s="9" t="s">
        <v>142</v>
      </c>
      <c r="E189" s="9" t="s">
        <v>142</v>
      </c>
      <c r="F189" s="9" t="s">
        <v>142</v>
      </c>
      <c r="G189" s="9" t="s">
        <v>142</v>
      </c>
    </row>
    <row r="190" spans="1:7">
      <c r="A190" s="8">
        <v>45839</v>
      </c>
      <c r="B190" s="4" t="s">
        <v>20</v>
      </c>
      <c r="C190" s="4" t="s">
        <v>26</v>
      </c>
      <c r="D190" s="4" t="s">
        <v>133</v>
      </c>
      <c r="E190" s="4"/>
      <c r="F190" s="4" t="s">
        <v>131</v>
      </c>
      <c r="G190" s="4" t="s">
        <v>143</v>
      </c>
    </row>
    <row r="191" spans="1:7">
      <c r="A191" s="8">
        <v>45840</v>
      </c>
      <c r="B191" s="4" t="s">
        <v>20</v>
      </c>
      <c r="C191" s="4" t="s">
        <v>26</v>
      </c>
      <c r="D191" s="4" t="s">
        <v>133</v>
      </c>
      <c r="E191" s="4"/>
      <c r="F191" s="4" t="s">
        <v>131</v>
      </c>
      <c r="G191" s="4" t="s">
        <v>143</v>
      </c>
    </row>
    <row r="192" spans="1:7">
      <c r="A192" s="8">
        <v>45841</v>
      </c>
      <c r="B192" s="4" t="s">
        <v>20</v>
      </c>
      <c r="C192" s="4" t="s">
        <v>26</v>
      </c>
      <c r="D192" s="4" t="s">
        <v>133</v>
      </c>
      <c r="E192" s="4"/>
      <c r="F192" s="4" t="s">
        <v>131</v>
      </c>
      <c r="G192" s="4" t="s">
        <v>143</v>
      </c>
    </row>
    <row r="193" spans="1:7">
      <c r="A193" s="7">
        <v>45842</v>
      </c>
      <c r="B193" s="10" t="s">
        <v>20</v>
      </c>
      <c r="C193" s="10"/>
      <c r="D193" s="10" t="s">
        <v>133</v>
      </c>
      <c r="E193" s="10"/>
      <c r="F193" s="10"/>
      <c r="G193" s="4" t="s">
        <v>143</v>
      </c>
    </row>
    <row r="194" spans="1:7">
      <c r="A194" s="1"/>
    </row>
    <row r="195" spans="1:7">
      <c r="A195" s="1"/>
    </row>
    <row r="196" spans="1:7">
      <c r="A196" s="1"/>
    </row>
    <row r="197" spans="1:7">
      <c r="A197" s="1"/>
    </row>
    <row r="198" spans="1:7">
      <c r="A198" s="1"/>
    </row>
    <row r="199" spans="1:7">
      <c r="A199" s="1"/>
    </row>
    <row r="200" spans="1:7">
      <c r="A200" s="1"/>
    </row>
    <row r="201" spans="1:7">
      <c r="A201" s="1"/>
    </row>
    <row r="202" spans="1:7">
      <c r="A202" s="1"/>
    </row>
    <row r="203" spans="1:7">
      <c r="A203" s="1"/>
    </row>
    <row r="204" spans="1:7">
      <c r="A204" s="1"/>
    </row>
    <row r="205" spans="1:7">
      <c r="A205" s="1"/>
    </row>
    <row r="206" spans="1:7">
      <c r="A206" s="1"/>
    </row>
    <row r="207" spans="1:7">
      <c r="A207" s="1"/>
    </row>
    <row r="208" spans="1:7">
      <c r="A208" s="1"/>
    </row>
    <row r="209" spans="1:1">
      <c r="A209" s="1"/>
    </row>
    <row r="210" spans="1:1">
      <c r="A210" s="1"/>
    </row>
    <row r="211" spans="1:1">
      <c r="A211" s="1"/>
    </row>
    <row r="212" spans="1:1">
      <c r="A212" s="1"/>
    </row>
    <row r="213" spans="1:1">
      <c r="A213" s="1"/>
    </row>
    <row r="214" spans="1:1">
      <c r="A214" s="1"/>
    </row>
    <row r="215" spans="1:1">
      <c r="A215" s="1"/>
    </row>
    <row r="216" spans="1:1">
      <c r="A216" s="1"/>
    </row>
    <row r="217" spans="1:1">
      <c r="A217" s="1"/>
    </row>
    <row r="218" spans="1:1">
      <c r="A218" s="1"/>
    </row>
    <row r="219" spans="1:1">
      <c r="A219" s="1"/>
    </row>
    <row r="220" spans="1:1">
      <c r="A220" s="1"/>
    </row>
    <row r="221" spans="1:1">
      <c r="A221" s="1"/>
    </row>
    <row r="222" spans="1:1">
      <c r="A222" s="1"/>
    </row>
    <row r="223" spans="1:1">
      <c r="A223" s="1"/>
    </row>
    <row r="333" spans="7:7">
      <c r="G333" t="s">
        <v>144</v>
      </c>
    </row>
  </sheetData>
  <autoFilter ref="A1:F193" xr:uid="{080507E2-9BB9-4455-8317-31B7E7DB8DFF}"/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DB9174-2AAB-4B06-B1CA-9061ED40C8D5}">
  <dimension ref="A1:H221"/>
  <sheetViews>
    <sheetView workbookViewId="0">
      <pane ySplit="1" topLeftCell="A164" activePane="bottomLeft" state="frozen"/>
      <selection pane="bottomLeft" activeCell="D148" sqref="D148"/>
    </sheetView>
  </sheetViews>
  <sheetFormatPr defaultRowHeight="15"/>
  <cols>
    <col min="1" max="1" width="39.85546875" customWidth="1"/>
    <col min="2" max="2" width="26.5703125" customWidth="1"/>
    <col min="3" max="3" width="28.7109375" customWidth="1"/>
    <col min="4" max="4" width="27.5703125" customWidth="1"/>
    <col min="5" max="5" width="29" customWidth="1"/>
    <col min="6" max="6" width="28.42578125" customWidth="1"/>
    <col min="7" max="7" width="30" customWidth="1"/>
    <col min="8" max="8" width="27.28515625" customWidth="1"/>
  </cols>
  <sheetData>
    <row r="1" spans="1:7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9</v>
      </c>
    </row>
    <row r="2" spans="1:7">
      <c r="A2" s="2">
        <v>45843</v>
      </c>
      <c r="B2" s="3" t="s">
        <v>20</v>
      </c>
      <c r="C2" s="3"/>
      <c r="D2" s="3" t="s">
        <v>19</v>
      </c>
      <c r="E2" s="3"/>
      <c r="F2" s="3"/>
      <c r="G2" s="3" t="s">
        <v>143</v>
      </c>
    </row>
    <row r="3" spans="1:7">
      <c r="A3" s="2">
        <v>45844</v>
      </c>
      <c r="B3" s="3" t="s">
        <v>20</v>
      </c>
      <c r="C3" s="3"/>
      <c r="D3" s="3" t="s">
        <v>43</v>
      </c>
      <c r="E3" s="3"/>
      <c r="F3" s="3"/>
      <c r="G3" s="3" t="s">
        <v>143</v>
      </c>
    </row>
    <row r="4" spans="1:7">
      <c r="A4" s="8">
        <v>45845</v>
      </c>
      <c r="B4" s="4" t="s">
        <v>17</v>
      </c>
      <c r="C4" s="4" t="s">
        <v>14</v>
      </c>
      <c r="D4" s="4" t="s">
        <v>18</v>
      </c>
      <c r="E4" s="4"/>
      <c r="F4" s="4" t="s">
        <v>19</v>
      </c>
      <c r="G4" s="4" t="s">
        <v>145</v>
      </c>
    </row>
    <row r="5" spans="1:7">
      <c r="A5" s="8">
        <v>45846</v>
      </c>
      <c r="B5" s="4" t="s">
        <v>17</v>
      </c>
      <c r="C5" s="4" t="s">
        <v>14</v>
      </c>
      <c r="D5" s="4" t="s">
        <v>18</v>
      </c>
      <c r="E5" s="4"/>
      <c r="F5" s="4" t="s">
        <v>19</v>
      </c>
      <c r="G5" s="4" t="s">
        <v>145</v>
      </c>
    </row>
    <row r="6" spans="1:7">
      <c r="A6" s="8">
        <v>45847</v>
      </c>
      <c r="B6" s="4" t="s">
        <v>17</v>
      </c>
      <c r="C6" s="4" t="s">
        <v>14</v>
      </c>
      <c r="D6" s="4" t="s">
        <v>18</v>
      </c>
      <c r="E6" s="4"/>
      <c r="F6" s="4" t="s">
        <v>19</v>
      </c>
      <c r="G6" s="4" t="s">
        <v>145</v>
      </c>
    </row>
    <row r="7" spans="1:7">
      <c r="A7" s="8">
        <v>45848</v>
      </c>
      <c r="B7" s="4" t="s">
        <v>17</v>
      </c>
      <c r="C7" s="4" t="s">
        <v>14</v>
      </c>
      <c r="D7" s="4" t="s">
        <v>18</v>
      </c>
      <c r="E7" s="4"/>
      <c r="F7" s="4" t="s">
        <v>19</v>
      </c>
      <c r="G7" s="4" t="s">
        <v>145</v>
      </c>
    </row>
    <row r="8" spans="1:7">
      <c r="A8" s="8">
        <v>45849</v>
      </c>
      <c r="B8" s="4" t="s">
        <v>17</v>
      </c>
      <c r="C8" s="4" t="s">
        <v>14</v>
      </c>
      <c r="D8" s="4" t="s">
        <v>18</v>
      </c>
      <c r="E8" s="3"/>
      <c r="F8" s="4" t="s">
        <v>19</v>
      </c>
      <c r="G8" s="4" t="s">
        <v>145</v>
      </c>
    </row>
    <row r="9" spans="1:7">
      <c r="A9" s="2">
        <v>45850</v>
      </c>
      <c r="B9" s="3" t="s">
        <v>17</v>
      </c>
      <c r="C9" s="3"/>
      <c r="D9" s="3" t="s">
        <v>18</v>
      </c>
      <c r="E9" s="3"/>
      <c r="F9" s="3"/>
      <c r="G9" s="3"/>
    </row>
    <row r="10" spans="1:7">
      <c r="A10" s="2">
        <v>45851</v>
      </c>
      <c r="B10" s="3" t="s">
        <v>17</v>
      </c>
      <c r="C10" s="3"/>
      <c r="D10" s="3" t="s">
        <v>18</v>
      </c>
      <c r="E10" s="3"/>
      <c r="F10" s="3"/>
      <c r="G10" s="3"/>
    </row>
    <row r="11" spans="1:7">
      <c r="A11" s="8">
        <v>45852</v>
      </c>
      <c r="B11" s="4" t="s">
        <v>26</v>
      </c>
      <c r="C11" s="4" t="s">
        <v>20</v>
      </c>
      <c r="D11" s="19" t="s">
        <v>27</v>
      </c>
      <c r="E11" s="4"/>
      <c r="F11" s="4" t="s">
        <v>13</v>
      </c>
      <c r="G11" s="4" t="s">
        <v>19</v>
      </c>
    </row>
    <row r="12" spans="1:7">
      <c r="A12" s="8">
        <v>45853</v>
      </c>
      <c r="B12" s="4" t="s">
        <v>26</v>
      </c>
      <c r="C12" s="4" t="s">
        <v>20</v>
      </c>
      <c r="D12" s="19" t="s">
        <v>27</v>
      </c>
      <c r="E12" s="4"/>
      <c r="F12" s="4" t="s">
        <v>13</v>
      </c>
      <c r="G12" s="4" t="s">
        <v>19</v>
      </c>
    </row>
    <row r="13" spans="1:7">
      <c r="A13" s="8">
        <v>45854</v>
      </c>
      <c r="B13" s="4" t="s">
        <v>26</v>
      </c>
      <c r="C13" s="4" t="s">
        <v>20</v>
      </c>
      <c r="D13" s="19" t="s">
        <v>27</v>
      </c>
      <c r="E13" s="4"/>
      <c r="F13" s="4" t="s">
        <v>13</v>
      </c>
      <c r="G13" s="4" t="s">
        <v>19</v>
      </c>
    </row>
    <row r="14" spans="1:7">
      <c r="A14" s="8">
        <v>45855</v>
      </c>
      <c r="B14" s="4" t="s">
        <v>26</v>
      </c>
      <c r="C14" s="4" t="s">
        <v>20</v>
      </c>
      <c r="D14" s="19" t="s">
        <v>27</v>
      </c>
      <c r="E14" s="4"/>
      <c r="F14" s="4" t="s">
        <v>13</v>
      </c>
      <c r="G14" s="4" t="s">
        <v>19</v>
      </c>
    </row>
    <row r="15" spans="1:7">
      <c r="A15" s="8">
        <v>45856</v>
      </c>
      <c r="B15" s="4" t="s">
        <v>26</v>
      </c>
      <c r="C15" s="4" t="s">
        <v>20</v>
      </c>
      <c r="D15" s="19" t="s">
        <v>27</v>
      </c>
      <c r="E15" s="3"/>
      <c r="F15" s="4" t="s">
        <v>13</v>
      </c>
      <c r="G15" s="4" t="s">
        <v>19</v>
      </c>
    </row>
    <row r="16" spans="1:7">
      <c r="A16" s="2">
        <v>45857</v>
      </c>
      <c r="B16" s="3" t="s">
        <v>20</v>
      </c>
      <c r="C16" s="3"/>
      <c r="D16" s="3" t="s">
        <v>16</v>
      </c>
      <c r="E16" s="3"/>
      <c r="F16" s="3"/>
      <c r="G16" s="3" t="s">
        <v>19</v>
      </c>
    </row>
    <row r="17" spans="1:8">
      <c r="A17" s="2">
        <v>45858</v>
      </c>
      <c r="B17" s="3" t="s">
        <v>20</v>
      </c>
      <c r="C17" s="3"/>
      <c r="D17" s="3" t="s">
        <v>16</v>
      </c>
      <c r="E17" s="3"/>
      <c r="F17" s="3"/>
      <c r="G17" s="3" t="s">
        <v>19</v>
      </c>
    </row>
    <row r="18" spans="1:8">
      <c r="A18" s="8">
        <v>45859</v>
      </c>
      <c r="B18" s="4" t="s">
        <v>14</v>
      </c>
      <c r="C18" s="4" t="s">
        <v>130</v>
      </c>
      <c r="D18" s="4" t="s">
        <v>13</v>
      </c>
      <c r="E18" s="4"/>
      <c r="F18" s="4" t="s">
        <v>18</v>
      </c>
      <c r="G18" s="4" t="s">
        <v>19</v>
      </c>
    </row>
    <row r="19" spans="1:8">
      <c r="A19" s="8">
        <v>45860</v>
      </c>
      <c r="B19" s="4" t="s">
        <v>14</v>
      </c>
      <c r="C19" s="4" t="s">
        <v>130</v>
      </c>
      <c r="D19" s="4" t="s">
        <v>13</v>
      </c>
      <c r="E19" s="4"/>
      <c r="F19" s="4" t="s">
        <v>18</v>
      </c>
      <c r="G19" s="4" t="s">
        <v>19</v>
      </c>
      <c r="H19" s="20" t="s">
        <v>146</v>
      </c>
    </row>
    <row r="20" spans="1:8">
      <c r="A20" s="8">
        <v>45861</v>
      </c>
      <c r="B20" s="4" t="s">
        <v>14</v>
      </c>
      <c r="C20" s="4" t="s">
        <v>130</v>
      </c>
      <c r="D20" s="4" t="s">
        <v>13</v>
      </c>
      <c r="E20" s="4"/>
      <c r="F20" s="4" t="s">
        <v>18</v>
      </c>
      <c r="G20" s="4" t="s">
        <v>19</v>
      </c>
      <c r="H20" s="20" t="s">
        <v>146</v>
      </c>
    </row>
    <row r="21" spans="1:8">
      <c r="A21" s="8">
        <v>45862</v>
      </c>
      <c r="B21" s="4" t="s">
        <v>14</v>
      </c>
      <c r="C21" s="4" t="s">
        <v>130</v>
      </c>
      <c r="D21" s="4" t="s">
        <v>13</v>
      </c>
      <c r="E21" s="4"/>
      <c r="F21" s="4" t="s">
        <v>20</v>
      </c>
      <c r="G21" s="4" t="s">
        <v>19</v>
      </c>
      <c r="H21" s="20" t="s">
        <v>146</v>
      </c>
    </row>
    <row r="22" spans="1:8">
      <c r="A22" s="8">
        <v>45863</v>
      </c>
      <c r="B22" s="4" t="s">
        <v>14</v>
      </c>
      <c r="C22" s="4" t="s">
        <v>130</v>
      </c>
      <c r="D22" s="4" t="s">
        <v>13</v>
      </c>
      <c r="E22" s="3"/>
      <c r="F22" s="4" t="s">
        <v>20</v>
      </c>
      <c r="G22" s="4" t="s">
        <v>19</v>
      </c>
      <c r="H22" s="20" t="s">
        <v>146</v>
      </c>
    </row>
    <row r="23" spans="1:8">
      <c r="A23" s="2">
        <v>45864</v>
      </c>
      <c r="B23" s="3" t="s">
        <v>14</v>
      </c>
      <c r="C23" s="3"/>
      <c r="D23" s="3" t="s">
        <v>13</v>
      </c>
      <c r="E23" s="3"/>
      <c r="F23" s="3"/>
      <c r="G23" s="3"/>
      <c r="H23" s="20" t="s">
        <v>146</v>
      </c>
    </row>
    <row r="24" spans="1:8">
      <c r="A24" s="2">
        <v>45865</v>
      </c>
      <c r="B24" s="3" t="s">
        <v>14</v>
      </c>
      <c r="C24" s="3"/>
      <c r="D24" s="3" t="s">
        <v>13</v>
      </c>
      <c r="E24" s="3"/>
      <c r="F24" s="3"/>
      <c r="G24" s="3"/>
      <c r="H24" s="20" t="s">
        <v>146</v>
      </c>
    </row>
    <row r="25" spans="1:8">
      <c r="A25" s="8">
        <v>45866</v>
      </c>
      <c r="B25" s="4" t="s">
        <v>16</v>
      </c>
      <c r="C25" s="4" t="s">
        <v>18</v>
      </c>
      <c r="D25" s="4" t="s">
        <v>130</v>
      </c>
      <c r="E25" s="4"/>
      <c r="F25" s="4" t="s">
        <v>27</v>
      </c>
      <c r="G25" s="4"/>
      <c r="H25" s="20" t="s">
        <v>146</v>
      </c>
    </row>
    <row r="26" spans="1:8">
      <c r="A26" s="8">
        <v>45867</v>
      </c>
      <c r="B26" s="4" t="s">
        <v>16</v>
      </c>
      <c r="C26" s="4" t="s">
        <v>18</v>
      </c>
      <c r="D26" s="4" t="s">
        <v>130</v>
      </c>
      <c r="E26" s="4"/>
      <c r="F26" s="4" t="s">
        <v>27</v>
      </c>
      <c r="G26" s="4"/>
    </row>
    <row r="27" spans="1:8">
      <c r="A27" s="8">
        <v>45868</v>
      </c>
      <c r="B27" s="4" t="s">
        <v>16</v>
      </c>
      <c r="C27" s="4" t="s">
        <v>18</v>
      </c>
      <c r="D27" s="4" t="s">
        <v>130</v>
      </c>
      <c r="E27" s="4"/>
      <c r="F27" s="4" t="s">
        <v>27</v>
      </c>
      <c r="G27" s="4"/>
    </row>
    <row r="28" spans="1:8">
      <c r="A28" s="8">
        <v>45869</v>
      </c>
      <c r="B28" s="4" t="s">
        <v>16</v>
      </c>
      <c r="C28" s="4" t="s">
        <v>18</v>
      </c>
      <c r="D28" s="4" t="s">
        <v>130</v>
      </c>
      <c r="E28" s="4"/>
      <c r="F28" s="4" t="s">
        <v>27</v>
      </c>
      <c r="G28" s="4"/>
    </row>
    <row r="29" spans="1:8">
      <c r="A29" s="9" t="s">
        <v>147</v>
      </c>
      <c r="B29" s="9" t="s">
        <v>147</v>
      </c>
      <c r="C29" s="9" t="s">
        <v>147</v>
      </c>
      <c r="D29" s="9" t="s">
        <v>147</v>
      </c>
      <c r="E29" s="9" t="s">
        <v>147</v>
      </c>
      <c r="F29" s="9" t="s">
        <v>147</v>
      </c>
      <c r="G29" s="9" t="s">
        <v>147</v>
      </c>
    </row>
    <row r="30" spans="1:8">
      <c r="A30" s="8">
        <v>45870</v>
      </c>
      <c r="B30" s="4" t="s">
        <v>16</v>
      </c>
      <c r="C30" s="4" t="s">
        <v>18</v>
      </c>
      <c r="D30" s="4" t="s">
        <v>130</v>
      </c>
      <c r="E30" s="3"/>
      <c r="F30" s="4" t="s">
        <v>27</v>
      </c>
      <c r="G30" s="4" t="s">
        <v>148</v>
      </c>
    </row>
    <row r="31" spans="1:8">
      <c r="A31" s="2">
        <v>45871</v>
      </c>
      <c r="B31" s="3" t="s">
        <v>18</v>
      </c>
      <c r="C31" s="3"/>
      <c r="D31" s="3" t="s">
        <v>130</v>
      </c>
      <c r="E31" s="3"/>
      <c r="F31" s="3"/>
      <c r="G31" s="3" t="s">
        <v>148</v>
      </c>
    </row>
    <row r="32" spans="1:8">
      <c r="A32" s="2">
        <v>45872</v>
      </c>
      <c r="B32" s="3" t="s">
        <v>18</v>
      </c>
      <c r="C32" s="3"/>
      <c r="D32" s="3" t="s">
        <v>130</v>
      </c>
      <c r="E32" s="3"/>
      <c r="F32" s="3"/>
      <c r="G32" s="3" t="s">
        <v>148</v>
      </c>
    </row>
    <row r="33" spans="1:8">
      <c r="A33" s="8">
        <v>45873</v>
      </c>
      <c r="B33" s="4" t="s">
        <v>13</v>
      </c>
      <c r="C33" s="4" t="s">
        <v>19</v>
      </c>
      <c r="D33" s="4" t="s">
        <v>17</v>
      </c>
      <c r="E33" s="4" t="s">
        <v>14</v>
      </c>
      <c r="F33" s="4" t="s">
        <v>20</v>
      </c>
      <c r="G33" s="4" t="s">
        <v>128</v>
      </c>
    </row>
    <row r="34" spans="1:8">
      <c r="A34" s="8">
        <v>45874</v>
      </c>
      <c r="B34" s="4" t="s">
        <v>13</v>
      </c>
      <c r="C34" s="4" t="s">
        <v>19</v>
      </c>
      <c r="D34" s="4" t="s">
        <v>17</v>
      </c>
      <c r="E34" s="4" t="s">
        <v>14</v>
      </c>
      <c r="F34" s="4" t="s">
        <v>20</v>
      </c>
      <c r="G34" s="4" t="s">
        <v>128</v>
      </c>
    </row>
    <row r="35" spans="1:8">
      <c r="A35" s="8">
        <v>45875</v>
      </c>
      <c r="B35" s="4" t="s">
        <v>13</v>
      </c>
      <c r="C35" s="4" t="s">
        <v>19</v>
      </c>
      <c r="D35" s="4" t="s">
        <v>17</v>
      </c>
      <c r="E35" s="4" t="s">
        <v>14</v>
      </c>
      <c r="F35" s="4" t="s">
        <v>20</v>
      </c>
      <c r="G35" s="4" t="s">
        <v>128</v>
      </c>
    </row>
    <row r="36" spans="1:8">
      <c r="A36" s="8">
        <v>45876</v>
      </c>
      <c r="B36" s="4" t="s">
        <v>13</v>
      </c>
      <c r="C36" s="4" t="s">
        <v>19</v>
      </c>
      <c r="D36" s="4" t="s">
        <v>17</v>
      </c>
      <c r="E36" s="4" t="s">
        <v>14</v>
      </c>
      <c r="F36" s="4" t="s">
        <v>20</v>
      </c>
      <c r="G36" s="4" t="s">
        <v>128</v>
      </c>
      <c r="H36" t="s">
        <v>149</v>
      </c>
    </row>
    <row r="37" spans="1:8">
      <c r="A37" s="8">
        <v>45877</v>
      </c>
      <c r="B37" s="4" t="s">
        <v>13</v>
      </c>
      <c r="C37" s="4" t="s">
        <v>19</v>
      </c>
      <c r="D37" s="4" t="s">
        <v>17</v>
      </c>
      <c r="E37" s="3" t="s">
        <v>16</v>
      </c>
      <c r="F37" s="4" t="s">
        <v>20</v>
      </c>
      <c r="G37" s="4" t="s">
        <v>128</v>
      </c>
      <c r="H37" t="s">
        <v>149</v>
      </c>
    </row>
    <row r="38" spans="1:8">
      <c r="A38" s="2">
        <v>45878</v>
      </c>
      <c r="B38" s="3" t="s">
        <v>19</v>
      </c>
      <c r="C38" s="3"/>
      <c r="D38" s="3" t="s">
        <v>17</v>
      </c>
      <c r="E38" s="3" t="s">
        <v>16</v>
      </c>
      <c r="F38" s="3"/>
      <c r="G38" s="3"/>
      <c r="H38" t="s">
        <v>149</v>
      </c>
    </row>
    <row r="39" spans="1:8">
      <c r="A39" s="2">
        <v>45879</v>
      </c>
      <c r="B39" s="3" t="s">
        <v>19</v>
      </c>
      <c r="C39" s="3"/>
      <c r="D39" s="3" t="s">
        <v>17</v>
      </c>
      <c r="E39" s="3" t="s">
        <v>16</v>
      </c>
      <c r="F39" s="3"/>
      <c r="G39" s="3"/>
      <c r="H39" t="s">
        <v>149</v>
      </c>
    </row>
    <row r="40" spans="1:8">
      <c r="A40" s="8">
        <v>45880</v>
      </c>
      <c r="B40" s="4" t="s">
        <v>130</v>
      </c>
      <c r="C40" s="4" t="s">
        <v>13</v>
      </c>
      <c r="D40" s="4" t="s">
        <v>27</v>
      </c>
      <c r="E40" s="4" t="s">
        <v>26</v>
      </c>
      <c r="F40" s="4" t="s">
        <v>20</v>
      </c>
      <c r="G40" s="4"/>
    </row>
    <row r="41" spans="1:8">
      <c r="A41" s="8">
        <v>45881</v>
      </c>
      <c r="B41" s="4" t="s">
        <v>130</v>
      </c>
      <c r="C41" s="4" t="s">
        <v>13</v>
      </c>
      <c r="D41" s="4" t="s">
        <v>27</v>
      </c>
      <c r="E41" s="4" t="s">
        <v>26</v>
      </c>
      <c r="F41" s="4" t="s">
        <v>20</v>
      </c>
      <c r="G41" s="4"/>
    </row>
    <row r="42" spans="1:8">
      <c r="A42" s="8">
        <v>45882</v>
      </c>
      <c r="B42" s="4" t="s">
        <v>130</v>
      </c>
      <c r="C42" s="4" t="s">
        <v>13</v>
      </c>
      <c r="D42" s="4" t="s">
        <v>27</v>
      </c>
      <c r="E42" s="4" t="s">
        <v>26</v>
      </c>
      <c r="F42" s="4" t="s">
        <v>20</v>
      </c>
      <c r="G42" s="4"/>
    </row>
    <row r="43" spans="1:8">
      <c r="A43" s="8">
        <v>45883</v>
      </c>
      <c r="B43" s="4" t="s">
        <v>130</v>
      </c>
      <c r="C43" s="4" t="s">
        <v>13</v>
      </c>
      <c r="D43" s="4" t="s">
        <v>27</v>
      </c>
      <c r="E43" s="4" t="s">
        <v>26</v>
      </c>
      <c r="F43" s="4" t="s">
        <v>20</v>
      </c>
      <c r="G43" s="4"/>
    </row>
    <row r="44" spans="1:8">
      <c r="A44" s="8">
        <v>45884</v>
      </c>
      <c r="B44" s="4" t="s">
        <v>130</v>
      </c>
      <c r="C44" s="4" t="s">
        <v>13</v>
      </c>
      <c r="D44" s="4" t="s">
        <v>27</v>
      </c>
      <c r="E44" s="3" t="s">
        <v>14</v>
      </c>
      <c r="F44" s="4" t="s">
        <v>20</v>
      </c>
      <c r="G44" s="4"/>
    </row>
    <row r="45" spans="1:8">
      <c r="A45" s="2">
        <v>45885</v>
      </c>
      <c r="B45" s="3" t="s">
        <v>13</v>
      </c>
      <c r="C45" s="3"/>
      <c r="D45" s="3" t="s">
        <v>27</v>
      </c>
      <c r="E45" s="3" t="s">
        <v>14</v>
      </c>
      <c r="F45" s="3"/>
      <c r="G45" s="3"/>
    </row>
    <row r="46" spans="1:8">
      <c r="A46" s="2">
        <v>45886</v>
      </c>
      <c r="B46" s="3" t="s">
        <v>13</v>
      </c>
      <c r="C46" s="3"/>
      <c r="D46" s="3" t="s">
        <v>27</v>
      </c>
      <c r="E46" s="3" t="s">
        <v>14</v>
      </c>
      <c r="F46" s="3"/>
      <c r="G46" s="3"/>
    </row>
    <row r="47" spans="1:8">
      <c r="A47" s="8">
        <v>45887</v>
      </c>
      <c r="B47" s="4" t="s">
        <v>18</v>
      </c>
      <c r="C47" s="4" t="s">
        <v>17</v>
      </c>
      <c r="D47" s="4" t="s">
        <v>130</v>
      </c>
      <c r="E47" s="4" t="s">
        <v>16</v>
      </c>
      <c r="F47" s="4"/>
      <c r="G47" s="4"/>
    </row>
    <row r="48" spans="1:8">
      <c r="A48" s="8">
        <v>45888</v>
      </c>
      <c r="B48" s="4" t="s">
        <v>18</v>
      </c>
      <c r="C48" s="4" t="s">
        <v>17</v>
      </c>
      <c r="D48" s="4" t="s">
        <v>130</v>
      </c>
      <c r="E48" s="4" t="s">
        <v>16</v>
      </c>
      <c r="F48" s="4"/>
      <c r="G48" s="4"/>
    </row>
    <row r="49" spans="1:7">
      <c r="A49" s="8">
        <v>45889</v>
      </c>
      <c r="B49" s="4" t="s">
        <v>18</v>
      </c>
      <c r="C49" s="4" t="s">
        <v>17</v>
      </c>
      <c r="D49" s="4" t="s">
        <v>130</v>
      </c>
      <c r="E49" s="4" t="s">
        <v>16</v>
      </c>
      <c r="F49" s="4"/>
      <c r="G49" s="4"/>
    </row>
    <row r="50" spans="1:7">
      <c r="A50" s="8">
        <v>45890</v>
      </c>
      <c r="B50" s="4" t="s">
        <v>18</v>
      </c>
      <c r="C50" s="4" t="s">
        <v>17</v>
      </c>
      <c r="D50" s="4" t="s">
        <v>130</v>
      </c>
      <c r="E50" s="4" t="s">
        <v>16</v>
      </c>
      <c r="F50" s="4"/>
      <c r="G50" s="4"/>
    </row>
    <row r="51" spans="1:7">
      <c r="A51" s="8">
        <v>45891</v>
      </c>
      <c r="B51" s="4" t="s">
        <v>18</v>
      </c>
      <c r="C51" s="4" t="s">
        <v>17</v>
      </c>
      <c r="D51" s="4" t="s">
        <v>130</v>
      </c>
      <c r="E51" s="3" t="s">
        <v>26</v>
      </c>
      <c r="F51" s="4"/>
      <c r="G51" s="4"/>
    </row>
    <row r="52" spans="1:7">
      <c r="A52" s="2">
        <v>45892</v>
      </c>
      <c r="B52" s="3" t="s">
        <v>19</v>
      </c>
      <c r="C52" s="3"/>
      <c r="D52" s="3" t="s">
        <v>130</v>
      </c>
      <c r="E52" s="3" t="s">
        <v>26</v>
      </c>
      <c r="F52" s="3"/>
      <c r="G52" s="3"/>
    </row>
    <row r="53" spans="1:7">
      <c r="A53" s="2">
        <v>45893</v>
      </c>
      <c r="B53" s="3" t="s">
        <v>19</v>
      </c>
      <c r="C53" s="3"/>
      <c r="D53" s="3" t="s">
        <v>130</v>
      </c>
      <c r="E53" s="3" t="s">
        <v>26</v>
      </c>
      <c r="F53" s="3"/>
      <c r="G53" s="3"/>
    </row>
    <row r="54" spans="1:7">
      <c r="A54" s="8">
        <v>45894</v>
      </c>
      <c r="B54" s="4" t="s">
        <v>17</v>
      </c>
      <c r="C54" s="4" t="s">
        <v>18</v>
      </c>
      <c r="D54" s="4" t="s">
        <v>20</v>
      </c>
      <c r="E54" s="4" t="s">
        <v>14</v>
      </c>
      <c r="F54" s="4" t="s">
        <v>13</v>
      </c>
      <c r="G54" s="4"/>
    </row>
    <row r="55" spans="1:7">
      <c r="A55" s="8">
        <v>45895</v>
      </c>
      <c r="B55" s="4" t="s">
        <v>17</v>
      </c>
      <c r="C55" s="4" t="s">
        <v>18</v>
      </c>
      <c r="D55" s="4" t="s">
        <v>20</v>
      </c>
      <c r="E55" s="4" t="s">
        <v>14</v>
      </c>
      <c r="F55" s="4" t="s">
        <v>13</v>
      </c>
      <c r="G55" s="4"/>
    </row>
    <row r="56" spans="1:7">
      <c r="A56" s="8">
        <v>45896</v>
      </c>
      <c r="B56" s="4" t="s">
        <v>17</v>
      </c>
      <c r="C56" s="4" t="s">
        <v>18</v>
      </c>
      <c r="D56" s="4" t="s">
        <v>20</v>
      </c>
      <c r="E56" s="4" t="s">
        <v>14</v>
      </c>
      <c r="F56" s="4" t="s">
        <v>13</v>
      </c>
      <c r="G56" s="4"/>
    </row>
    <row r="57" spans="1:7">
      <c r="A57" s="8">
        <v>45897</v>
      </c>
      <c r="B57" s="4" t="s">
        <v>17</v>
      </c>
      <c r="C57" s="4" t="s">
        <v>18</v>
      </c>
      <c r="D57" s="4" t="s">
        <v>20</v>
      </c>
      <c r="E57" s="4" t="s">
        <v>14</v>
      </c>
      <c r="F57" s="4" t="s">
        <v>13</v>
      </c>
      <c r="G57" s="4"/>
    </row>
    <row r="58" spans="1:7">
      <c r="A58" s="8">
        <v>45898</v>
      </c>
      <c r="B58" s="4" t="s">
        <v>17</v>
      </c>
      <c r="C58" s="4" t="s">
        <v>18</v>
      </c>
      <c r="D58" s="4" t="s">
        <v>20</v>
      </c>
      <c r="E58" s="3"/>
      <c r="F58" s="4" t="s">
        <v>13</v>
      </c>
      <c r="G58" s="4"/>
    </row>
    <row r="59" spans="1:7">
      <c r="A59" s="2">
        <v>45899</v>
      </c>
      <c r="B59" s="3" t="s">
        <v>17</v>
      </c>
      <c r="C59" s="3"/>
      <c r="D59" s="3" t="s">
        <v>20</v>
      </c>
      <c r="E59" s="3"/>
      <c r="F59" s="3"/>
      <c r="G59" s="3"/>
    </row>
    <row r="60" spans="1:7">
      <c r="A60" s="2">
        <v>45900</v>
      </c>
      <c r="B60" s="3" t="s">
        <v>17</v>
      </c>
      <c r="C60" s="3"/>
      <c r="D60" s="3" t="s">
        <v>20</v>
      </c>
      <c r="E60" s="3"/>
      <c r="F60" s="3"/>
      <c r="G60" s="3"/>
    </row>
    <row r="61" spans="1:7">
      <c r="A61" s="9" t="s">
        <v>150</v>
      </c>
      <c r="B61" s="9" t="s">
        <v>150</v>
      </c>
      <c r="C61" s="9" t="s">
        <v>150</v>
      </c>
      <c r="D61" s="9" t="s">
        <v>150</v>
      </c>
      <c r="E61" s="9" t="s">
        <v>150</v>
      </c>
      <c r="F61" s="9" t="s">
        <v>150</v>
      </c>
      <c r="G61" s="9" t="s">
        <v>150</v>
      </c>
    </row>
    <row r="62" spans="1:7">
      <c r="A62" s="7">
        <v>45901</v>
      </c>
      <c r="B62" s="10" t="s">
        <v>19</v>
      </c>
      <c r="C62" s="10"/>
      <c r="D62" s="10" t="s">
        <v>13</v>
      </c>
      <c r="E62" s="10" t="s">
        <v>26</v>
      </c>
      <c r="F62" s="10"/>
      <c r="G62" s="10"/>
    </row>
    <row r="63" spans="1:7">
      <c r="A63" s="8">
        <v>45902</v>
      </c>
      <c r="B63" s="4" t="s">
        <v>130</v>
      </c>
      <c r="C63" s="4" t="s">
        <v>19</v>
      </c>
      <c r="D63" s="4" t="s">
        <v>13</v>
      </c>
      <c r="E63" s="4" t="s">
        <v>26</v>
      </c>
      <c r="F63" s="4"/>
      <c r="G63" s="4"/>
    </row>
    <row r="64" spans="1:7">
      <c r="A64" s="8">
        <v>45903</v>
      </c>
      <c r="B64" s="4" t="s">
        <v>130</v>
      </c>
      <c r="C64" s="4" t="s">
        <v>19</v>
      </c>
      <c r="D64" s="4" t="s">
        <v>13</v>
      </c>
      <c r="E64" s="4" t="s">
        <v>26</v>
      </c>
      <c r="F64" s="4"/>
      <c r="G64" s="4"/>
    </row>
    <row r="65" spans="1:8">
      <c r="A65" s="8">
        <v>45904</v>
      </c>
      <c r="B65" s="4" t="s">
        <v>130</v>
      </c>
      <c r="C65" s="4" t="s">
        <v>19</v>
      </c>
      <c r="D65" s="4" t="s">
        <v>13</v>
      </c>
      <c r="E65" s="4" t="s">
        <v>26</v>
      </c>
      <c r="F65" s="4"/>
      <c r="G65" s="4"/>
    </row>
    <row r="66" spans="1:8">
      <c r="A66" s="8">
        <v>45905</v>
      </c>
      <c r="B66" s="4" t="s">
        <v>130</v>
      </c>
      <c r="C66" s="4" t="s">
        <v>19</v>
      </c>
      <c r="D66" s="4" t="s">
        <v>13</v>
      </c>
      <c r="E66" s="3"/>
      <c r="F66" s="4"/>
      <c r="G66" s="4"/>
    </row>
    <row r="67" spans="1:8">
      <c r="A67" s="2">
        <v>45906</v>
      </c>
      <c r="B67" s="3" t="s">
        <v>130</v>
      </c>
      <c r="C67" s="3"/>
      <c r="D67" s="3" t="s">
        <v>14</v>
      </c>
      <c r="E67" s="3"/>
      <c r="F67" s="3"/>
      <c r="G67" s="3"/>
      <c r="H67" t="s">
        <v>151</v>
      </c>
    </row>
    <row r="68" spans="1:8">
      <c r="A68" s="2">
        <v>45907</v>
      </c>
      <c r="B68" s="3" t="s">
        <v>130</v>
      </c>
      <c r="C68" s="3"/>
      <c r="D68" s="3" t="s">
        <v>14</v>
      </c>
      <c r="E68" s="3"/>
      <c r="F68" s="3"/>
      <c r="G68" s="3"/>
    </row>
    <row r="69" spans="1:8">
      <c r="A69" s="8">
        <v>45908</v>
      </c>
      <c r="B69" s="4" t="s">
        <v>20</v>
      </c>
      <c r="C69" s="4" t="s">
        <v>17</v>
      </c>
      <c r="D69" s="4" t="s">
        <v>18</v>
      </c>
      <c r="E69" s="4" t="s">
        <v>16</v>
      </c>
      <c r="F69" s="4" t="s">
        <v>13</v>
      </c>
      <c r="G69" s="4"/>
      <c r="H69" s="20"/>
    </row>
    <row r="70" spans="1:8">
      <c r="A70" s="8">
        <v>45909</v>
      </c>
      <c r="B70" s="4" t="s">
        <v>20</v>
      </c>
      <c r="C70" s="4" t="s">
        <v>17</v>
      </c>
      <c r="D70" s="4" t="s">
        <v>18</v>
      </c>
      <c r="E70" s="4" t="s">
        <v>16</v>
      </c>
      <c r="F70" s="4" t="s">
        <v>13</v>
      </c>
      <c r="G70" s="4"/>
    </row>
    <row r="71" spans="1:8">
      <c r="A71" s="8">
        <v>45910</v>
      </c>
      <c r="B71" s="4" t="s">
        <v>20</v>
      </c>
      <c r="C71" s="4" t="s">
        <v>17</v>
      </c>
      <c r="D71" s="4" t="s">
        <v>18</v>
      </c>
      <c r="E71" s="4" t="s">
        <v>16</v>
      </c>
      <c r="F71" s="4" t="s">
        <v>13</v>
      </c>
      <c r="G71" s="4"/>
    </row>
    <row r="72" spans="1:8">
      <c r="A72" s="8">
        <v>45911</v>
      </c>
      <c r="B72" s="4" t="s">
        <v>20</v>
      </c>
      <c r="C72" s="4" t="s">
        <v>17</v>
      </c>
      <c r="D72" s="4" t="s">
        <v>18</v>
      </c>
      <c r="E72" s="4" t="s">
        <v>16</v>
      </c>
      <c r="F72" s="4" t="s">
        <v>13</v>
      </c>
      <c r="G72" s="4"/>
    </row>
    <row r="73" spans="1:8">
      <c r="A73" s="8">
        <v>45912</v>
      </c>
      <c r="B73" s="4" t="s">
        <v>20</v>
      </c>
      <c r="C73" s="4" t="s">
        <v>17</v>
      </c>
      <c r="D73" s="4" t="s">
        <v>18</v>
      </c>
      <c r="E73" s="3" t="s">
        <v>26</v>
      </c>
      <c r="F73" s="4" t="s">
        <v>13</v>
      </c>
      <c r="G73" s="4"/>
    </row>
    <row r="74" spans="1:8">
      <c r="A74" s="2">
        <v>45913</v>
      </c>
      <c r="B74" s="3" t="s">
        <v>27</v>
      </c>
      <c r="C74" s="3"/>
      <c r="D74" s="3" t="s">
        <v>19</v>
      </c>
      <c r="E74" s="3" t="s">
        <v>26</v>
      </c>
      <c r="F74" s="3"/>
      <c r="G74" s="3"/>
    </row>
    <row r="75" spans="1:8">
      <c r="A75" s="2">
        <v>45914</v>
      </c>
      <c r="B75" s="3" t="s">
        <v>27</v>
      </c>
      <c r="C75" s="3"/>
      <c r="D75" s="3" t="s">
        <v>19</v>
      </c>
      <c r="E75" s="3" t="s">
        <v>26</v>
      </c>
      <c r="F75" s="3"/>
      <c r="G75" s="3"/>
    </row>
    <row r="76" spans="1:8">
      <c r="A76" s="8">
        <v>45915</v>
      </c>
      <c r="B76" s="4" t="s">
        <v>20</v>
      </c>
      <c r="C76" s="4" t="s">
        <v>27</v>
      </c>
      <c r="D76" s="4" t="s">
        <v>18</v>
      </c>
      <c r="E76" s="4" t="s">
        <v>13</v>
      </c>
      <c r="F76" s="4" t="s">
        <v>19</v>
      </c>
      <c r="G76" s="4" t="s">
        <v>152</v>
      </c>
      <c r="H76" s="20"/>
    </row>
    <row r="77" spans="1:8">
      <c r="A77" s="8">
        <v>45916</v>
      </c>
      <c r="B77" s="4" t="s">
        <v>20</v>
      </c>
      <c r="C77" s="4" t="s">
        <v>27</v>
      </c>
      <c r="D77" s="4" t="s">
        <v>18</v>
      </c>
      <c r="E77" s="4" t="s">
        <v>13</v>
      </c>
      <c r="F77" s="4" t="s">
        <v>19</v>
      </c>
      <c r="G77" s="4" t="s">
        <v>152</v>
      </c>
      <c r="H77" s="20" t="s">
        <v>146</v>
      </c>
    </row>
    <row r="78" spans="1:8">
      <c r="A78" s="8">
        <v>45917</v>
      </c>
      <c r="B78" s="4" t="s">
        <v>20</v>
      </c>
      <c r="C78" s="4" t="s">
        <v>27</v>
      </c>
      <c r="D78" s="4" t="s">
        <v>18</v>
      </c>
      <c r="E78" s="4" t="s">
        <v>13</v>
      </c>
      <c r="F78" s="4" t="s">
        <v>19</v>
      </c>
      <c r="G78" s="4" t="s">
        <v>153</v>
      </c>
      <c r="H78" s="20" t="s">
        <v>146</v>
      </c>
    </row>
    <row r="79" spans="1:8">
      <c r="A79" s="8">
        <v>45918</v>
      </c>
      <c r="B79" s="4" t="s">
        <v>20</v>
      </c>
      <c r="C79" s="4" t="s">
        <v>27</v>
      </c>
      <c r="D79" s="4" t="s">
        <v>18</v>
      </c>
      <c r="E79" s="4" t="s">
        <v>13</v>
      </c>
      <c r="F79" s="4" t="s">
        <v>19</v>
      </c>
      <c r="G79" s="4" t="s">
        <v>153</v>
      </c>
      <c r="H79" s="20" t="s">
        <v>146</v>
      </c>
    </row>
    <row r="80" spans="1:8">
      <c r="A80" s="8">
        <v>45919</v>
      </c>
      <c r="B80" s="4" t="s">
        <v>20</v>
      </c>
      <c r="C80" s="4" t="s">
        <v>27</v>
      </c>
      <c r="D80" s="4" t="s">
        <v>18</v>
      </c>
      <c r="E80" s="3" t="s">
        <v>130</v>
      </c>
      <c r="F80" s="4" t="s">
        <v>19</v>
      </c>
      <c r="G80" s="4" t="s">
        <v>153</v>
      </c>
      <c r="H80" s="20" t="s">
        <v>146</v>
      </c>
    </row>
    <row r="81" spans="1:8">
      <c r="A81" s="2">
        <v>45920</v>
      </c>
      <c r="B81" s="3" t="s">
        <v>14</v>
      </c>
      <c r="C81" s="3"/>
      <c r="D81" s="3" t="s">
        <v>20</v>
      </c>
      <c r="E81" s="3" t="s">
        <v>130</v>
      </c>
      <c r="F81" s="3"/>
      <c r="G81" s="3" t="s">
        <v>153</v>
      </c>
      <c r="H81" s="20" t="s">
        <v>146</v>
      </c>
    </row>
    <row r="82" spans="1:8">
      <c r="A82" s="2">
        <v>45921</v>
      </c>
      <c r="B82" s="3" t="s">
        <v>14</v>
      </c>
      <c r="C82" s="3"/>
      <c r="D82" s="3" t="s">
        <v>20</v>
      </c>
      <c r="E82" s="3" t="s">
        <v>130</v>
      </c>
      <c r="F82" s="3"/>
      <c r="G82" s="3" t="s">
        <v>153</v>
      </c>
      <c r="H82" s="20" t="s">
        <v>146</v>
      </c>
    </row>
    <row r="83" spans="1:8">
      <c r="A83" s="8">
        <v>45922</v>
      </c>
      <c r="B83" s="4" t="s">
        <v>19</v>
      </c>
      <c r="C83" s="4" t="s">
        <v>14</v>
      </c>
      <c r="D83" s="4" t="s">
        <v>18</v>
      </c>
      <c r="E83" s="4" t="s">
        <v>17</v>
      </c>
      <c r="F83" s="4"/>
      <c r="G83" s="4"/>
      <c r="H83" s="20" t="s">
        <v>146</v>
      </c>
    </row>
    <row r="84" spans="1:8">
      <c r="A84" s="8">
        <v>45923</v>
      </c>
      <c r="B84" s="4" t="s">
        <v>19</v>
      </c>
      <c r="C84" s="4" t="s">
        <v>14</v>
      </c>
      <c r="D84" s="4" t="s">
        <v>18</v>
      </c>
      <c r="E84" s="4" t="s">
        <v>17</v>
      </c>
      <c r="F84" s="4"/>
      <c r="G84" s="4"/>
    </row>
    <row r="85" spans="1:8">
      <c r="A85" s="8">
        <v>45924</v>
      </c>
      <c r="B85" s="4" t="s">
        <v>19</v>
      </c>
      <c r="C85" s="4" t="s">
        <v>14</v>
      </c>
      <c r="D85" s="4" t="s">
        <v>18</v>
      </c>
      <c r="E85" s="4" t="s">
        <v>17</v>
      </c>
      <c r="F85" s="4"/>
      <c r="G85" s="4"/>
    </row>
    <row r="86" spans="1:8">
      <c r="A86" s="8">
        <v>45925</v>
      </c>
      <c r="B86" s="4" t="s">
        <v>19</v>
      </c>
      <c r="C86" s="4" t="s">
        <v>14</v>
      </c>
      <c r="D86" s="4" t="s">
        <v>18</v>
      </c>
      <c r="E86" s="4" t="s">
        <v>17</v>
      </c>
      <c r="F86" s="4"/>
      <c r="G86" s="4"/>
    </row>
    <row r="87" spans="1:8">
      <c r="A87" s="8">
        <v>45926</v>
      </c>
      <c r="B87" s="4" t="s">
        <v>19</v>
      </c>
      <c r="C87" s="4" t="s">
        <v>14</v>
      </c>
      <c r="D87" s="4" t="s">
        <v>18</v>
      </c>
      <c r="E87" s="3" t="s">
        <v>13</v>
      </c>
      <c r="F87" s="4"/>
      <c r="G87" s="4"/>
    </row>
    <row r="88" spans="1:8">
      <c r="A88" s="2">
        <v>45927</v>
      </c>
      <c r="B88" s="3" t="s">
        <v>19</v>
      </c>
      <c r="C88" s="3"/>
      <c r="D88" s="3" t="s">
        <v>16</v>
      </c>
      <c r="E88" s="3" t="s">
        <v>13</v>
      </c>
      <c r="F88" s="3"/>
      <c r="G88" s="3"/>
    </row>
    <row r="89" spans="1:8">
      <c r="A89" s="2">
        <v>45928</v>
      </c>
      <c r="B89" s="3" t="s">
        <v>19</v>
      </c>
      <c r="C89" s="3"/>
      <c r="D89" s="3" t="s">
        <v>16</v>
      </c>
      <c r="E89" s="3" t="s">
        <v>13</v>
      </c>
      <c r="F89" s="3"/>
      <c r="G89" s="3"/>
    </row>
    <row r="90" spans="1:8">
      <c r="A90" s="8">
        <v>45929</v>
      </c>
      <c r="B90" s="4" t="s">
        <v>27</v>
      </c>
      <c r="C90" s="4" t="s">
        <v>14</v>
      </c>
      <c r="D90" s="4" t="s">
        <v>20</v>
      </c>
      <c r="E90" s="4" t="s">
        <v>130</v>
      </c>
      <c r="F90" s="4" t="s">
        <v>16</v>
      </c>
      <c r="G90" s="4"/>
    </row>
    <row r="91" spans="1:8">
      <c r="A91" s="8">
        <v>45930</v>
      </c>
      <c r="B91" s="4" t="s">
        <v>27</v>
      </c>
      <c r="C91" s="4" t="s">
        <v>14</v>
      </c>
      <c r="D91" s="4" t="s">
        <v>20</v>
      </c>
      <c r="E91" s="4" t="s">
        <v>130</v>
      </c>
      <c r="F91" s="4" t="s">
        <v>16</v>
      </c>
      <c r="G91" s="4"/>
    </row>
    <row r="92" spans="1:8">
      <c r="A92" s="9" t="s">
        <v>154</v>
      </c>
      <c r="B92" s="9" t="s">
        <v>154</v>
      </c>
      <c r="C92" s="9" t="s">
        <v>154</v>
      </c>
      <c r="D92" s="9" t="s">
        <v>154</v>
      </c>
      <c r="E92" s="9" t="s">
        <v>154</v>
      </c>
      <c r="F92" s="9" t="s">
        <v>154</v>
      </c>
      <c r="G92" s="9" t="s">
        <v>154</v>
      </c>
    </row>
    <row r="93" spans="1:8">
      <c r="A93" s="8">
        <v>45931</v>
      </c>
      <c r="B93" s="4" t="s">
        <v>17</v>
      </c>
      <c r="C93" s="4" t="s">
        <v>14</v>
      </c>
      <c r="D93" s="4" t="s">
        <v>20</v>
      </c>
      <c r="E93" s="4" t="s">
        <v>130</v>
      </c>
      <c r="F93" s="4" t="s">
        <v>16</v>
      </c>
      <c r="G93" s="4" t="s">
        <v>128</v>
      </c>
    </row>
    <row r="94" spans="1:8">
      <c r="A94" s="8">
        <v>45932</v>
      </c>
      <c r="B94" s="4" t="s">
        <v>17</v>
      </c>
      <c r="C94" s="4" t="s">
        <v>14</v>
      </c>
      <c r="D94" s="4" t="s">
        <v>20</v>
      </c>
      <c r="E94" s="4" t="s">
        <v>130</v>
      </c>
      <c r="F94" s="4" t="s">
        <v>16</v>
      </c>
      <c r="G94" s="4" t="s">
        <v>128</v>
      </c>
    </row>
    <row r="95" spans="1:8">
      <c r="A95" s="8">
        <v>45933</v>
      </c>
      <c r="B95" s="4" t="s">
        <v>27</v>
      </c>
      <c r="C95" s="4" t="s">
        <v>14</v>
      </c>
      <c r="D95" s="4" t="s">
        <v>20</v>
      </c>
      <c r="E95" s="3" t="s">
        <v>13</v>
      </c>
      <c r="F95" s="4" t="s">
        <v>16</v>
      </c>
      <c r="G95" s="4" t="s">
        <v>128</v>
      </c>
    </row>
    <row r="96" spans="1:8">
      <c r="A96" s="2">
        <v>45934</v>
      </c>
      <c r="B96" s="3" t="s">
        <v>22</v>
      </c>
      <c r="C96" s="3"/>
      <c r="D96" s="3" t="s">
        <v>18</v>
      </c>
      <c r="E96" s="3" t="s">
        <v>13</v>
      </c>
      <c r="F96" s="3"/>
      <c r="G96" s="3" t="s">
        <v>128</v>
      </c>
    </row>
    <row r="97" spans="1:8">
      <c r="A97" s="2">
        <v>45935</v>
      </c>
      <c r="B97" s="3" t="s">
        <v>22</v>
      </c>
      <c r="C97" s="3"/>
      <c r="D97" s="3" t="s">
        <v>18</v>
      </c>
      <c r="E97" s="3" t="s">
        <v>13</v>
      </c>
      <c r="F97" s="3"/>
      <c r="G97" s="3" t="s">
        <v>128</v>
      </c>
    </row>
    <row r="98" spans="1:8">
      <c r="A98" s="8">
        <v>45936</v>
      </c>
      <c r="B98" s="4" t="s">
        <v>130</v>
      </c>
      <c r="C98" s="4" t="s">
        <v>22</v>
      </c>
      <c r="D98" s="4" t="s">
        <v>18</v>
      </c>
      <c r="E98" s="4" t="s">
        <v>13</v>
      </c>
      <c r="F98" s="4" t="s">
        <v>14</v>
      </c>
      <c r="G98" s="4" t="s">
        <v>128</v>
      </c>
      <c r="H98" s="20" t="s">
        <v>155</v>
      </c>
    </row>
    <row r="99" spans="1:8">
      <c r="A99" s="8">
        <v>45937</v>
      </c>
      <c r="B99" s="4" t="s">
        <v>130</v>
      </c>
      <c r="C99" s="4" t="s">
        <v>22</v>
      </c>
      <c r="D99" s="4" t="s">
        <v>18</v>
      </c>
      <c r="E99" s="4" t="s">
        <v>13</v>
      </c>
      <c r="F99" s="4" t="s">
        <v>14</v>
      </c>
      <c r="G99" s="4" t="s">
        <v>128</v>
      </c>
      <c r="H99" t="s">
        <v>156</v>
      </c>
    </row>
    <row r="100" spans="1:8">
      <c r="A100" s="8">
        <v>45938</v>
      </c>
      <c r="B100" s="4" t="s">
        <v>130</v>
      </c>
      <c r="C100" s="4" t="s">
        <v>22</v>
      </c>
      <c r="D100" s="4" t="s">
        <v>18</v>
      </c>
      <c r="E100" s="4" t="s">
        <v>17</v>
      </c>
      <c r="F100" s="4" t="s">
        <v>14</v>
      </c>
      <c r="G100" s="4" t="s">
        <v>128</v>
      </c>
    </row>
    <row r="101" spans="1:8">
      <c r="A101" s="8">
        <v>45939</v>
      </c>
      <c r="B101" s="4" t="s">
        <v>130</v>
      </c>
      <c r="C101" s="4" t="s">
        <v>22</v>
      </c>
      <c r="D101" s="4" t="s">
        <v>18</v>
      </c>
      <c r="E101" s="4" t="s">
        <v>17</v>
      </c>
      <c r="F101" s="4" t="s">
        <v>14</v>
      </c>
      <c r="G101" s="4" t="s">
        <v>128</v>
      </c>
    </row>
    <row r="102" spans="1:8">
      <c r="A102" s="8">
        <v>45940</v>
      </c>
      <c r="B102" s="4" t="s">
        <v>130</v>
      </c>
      <c r="C102" s="4" t="s">
        <v>22</v>
      </c>
      <c r="D102" s="4" t="s">
        <v>18</v>
      </c>
      <c r="E102" s="3" t="s">
        <v>130</v>
      </c>
      <c r="F102" s="4" t="s">
        <v>14</v>
      </c>
      <c r="G102" s="4"/>
    </row>
    <row r="103" spans="1:8">
      <c r="A103" s="2">
        <v>45941</v>
      </c>
      <c r="B103" s="3" t="s">
        <v>19</v>
      </c>
      <c r="C103" s="3"/>
      <c r="D103" s="3" t="s">
        <v>20</v>
      </c>
      <c r="E103" s="3" t="s">
        <v>130</v>
      </c>
      <c r="F103" s="3"/>
      <c r="G103" s="3"/>
    </row>
    <row r="104" spans="1:8">
      <c r="A104" s="2">
        <v>45942</v>
      </c>
      <c r="B104" s="3" t="s">
        <v>19</v>
      </c>
      <c r="C104" s="3"/>
      <c r="D104" s="3" t="s">
        <v>20</v>
      </c>
      <c r="E104" s="3" t="s">
        <v>130</v>
      </c>
      <c r="F104" s="3"/>
      <c r="G104" s="3"/>
    </row>
    <row r="105" spans="1:8">
      <c r="A105" s="8">
        <v>45943</v>
      </c>
      <c r="B105" s="4" t="s">
        <v>14</v>
      </c>
      <c r="C105" s="4" t="s">
        <v>16</v>
      </c>
      <c r="D105" s="4" t="s">
        <v>20</v>
      </c>
      <c r="E105" s="4" t="s">
        <v>13</v>
      </c>
      <c r="F105" s="4"/>
      <c r="G105" s="4" t="s">
        <v>22</v>
      </c>
      <c r="H105" s="20"/>
    </row>
    <row r="106" spans="1:8">
      <c r="A106" s="8">
        <v>45944</v>
      </c>
      <c r="B106" s="4" t="s">
        <v>14</v>
      </c>
      <c r="C106" s="4" t="s">
        <v>16</v>
      </c>
      <c r="D106" s="4" t="s">
        <v>20</v>
      </c>
      <c r="E106" s="4" t="s">
        <v>13</v>
      </c>
      <c r="F106" s="4"/>
      <c r="G106" s="4" t="s">
        <v>22</v>
      </c>
    </row>
    <row r="107" spans="1:8">
      <c r="A107" s="8">
        <v>45945</v>
      </c>
      <c r="B107" s="4" t="s">
        <v>14</v>
      </c>
      <c r="C107" s="4" t="s">
        <v>16</v>
      </c>
      <c r="D107" s="4" t="s">
        <v>20</v>
      </c>
      <c r="E107" s="4" t="s">
        <v>17</v>
      </c>
      <c r="F107" s="4"/>
      <c r="G107" s="4" t="s">
        <v>22</v>
      </c>
    </row>
    <row r="108" spans="1:8">
      <c r="A108" s="8">
        <v>45946</v>
      </c>
      <c r="B108" s="4" t="s">
        <v>14</v>
      </c>
      <c r="C108" s="4" t="s">
        <v>16</v>
      </c>
      <c r="D108" s="4" t="s">
        <v>20</v>
      </c>
      <c r="E108" s="4" t="s">
        <v>17</v>
      </c>
      <c r="F108" s="4"/>
      <c r="G108" s="4" t="s">
        <v>22</v>
      </c>
    </row>
    <row r="109" spans="1:8">
      <c r="A109" s="8">
        <v>45947</v>
      </c>
      <c r="B109" s="4" t="s">
        <v>14</v>
      </c>
      <c r="C109" s="4" t="s">
        <v>16</v>
      </c>
      <c r="D109" s="4" t="s">
        <v>20</v>
      </c>
      <c r="E109" s="3" t="s">
        <v>17</v>
      </c>
      <c r="F109" s="4"/>
      <c r="G109" s="4" t="s">
        <v>22</v>
      </c>
    </row>
    <row r="110" spans="1:8">
      <c r="A110" s="2">
        <v>45948</v>
      </c>
      <c r="B110" s="3" t="s">
        <v>14</v>
      </c>
      <c r="C110" s="3"/>
      <c r="D110" s="3" t="s">
        <v>18</v>
      </c>
      <c r="E110" s="3" t="s">
        <v>17</v>
      </c>
      <c r="F110" s="3"/>
      <c r="G110" s="3"/>
      <c r="H110" s="18"/>
    </row>
    <row r="111" spans="1:8">
      <c r="A111" s="2">
        <v>45949</v>
      </c>
      <c r="B111" s="3" t="s">
        <v>14</v>
      </c>
      <c r="C111" s="3"/>
      <c r="D111" s="3" t="s">
        <v>18</v>
      </c>
      <c r="E111" s="3" t="s">
        <v>17</v>
      </c>
      <c r="F111" s="3"/>
      <c r="G111" s="3"/>
      <c r="H111" s="18"/>
    </row>
    <row r="112" spans="1:8">
      <c r="A112" s="8">
        <v>45950</v>
      </c>
      <c r="B112" s="4" t="s">
        <v>22</v>
      </c>
      <c r="C112" s="4" t="s">
        <v>20</v>
      </c>
      <c r="D112" s="4" t="s">
        <v>13</v>
      </c>
      <c r="E112" s="4" t="s">
        <v>130</v>
      </c>
      <c r="F112" s="4"/>
      <c r="G112" s="4"/>
      <c r="H112" s="20"/>
    </row>
    <row r="113" spans="1:8">
      <c r="A113" s="8">
        <v>45951</v>
      </c>
      <c r="B113" s="4" t="s">
        <v>22</v>
      </c>
      <c r="C113" s="4" t="s">
        <v>20</v>
      </c>
      <c r="D113" s="4" t="s">
        <v>13</v>
      </c>
      <c r="E113" s="4" t="s">
        <v>130</v>
      </c>
      <c r="F113" s="4"/>
      <c r="G113" s="4"/>
    </row>
    <row r="114" spans="1:8">
      <c r="A114" s="8">
        <v>45952</v>
      </c>
      <c r="B114" s="4" t="s">
        <v>22</v>
      </c>
      <c r="C114" s="4" t="s">
        <v>20</v>
      </c>
      <c r="D114" s="4" t="s">
        <v>13</v>
      </c>
      <c r="E114" s="4" t="s">
        <v>130</v>
      </c>
      <c r="F114" s="4"/>
      <c r="G114" s="4"/>
    </row>
    <row r="115" spans="1:8">
      <c r="A115" s="8">
        <v>45953</v>
      </c>
      <c r="B115" s="4" t="s">
        <v>22</v>
      </c>
      <c r="C115" s="4" t="s">
        <v>20</v>
      </c>
      <c r="D115" s="4" t="s">
        <v>13</v>
      </c>
      <c r="E115" s="4" t="s">
        <v>130</v>
      </c>
      <c r="F115" s="4"/>
      <c r="G115" s="4"/>
    </row>
    <row r="116" spans="1:8">
      <c r="A116" s="8">
        <v>45954</v>
      </c>
      <c r="B116" s="4" t="s">
        <v>22</v>
      </c>
      <c r="C116" s="4" t="s">
        <v>20</v>
      </c>
      <c r="D116" s="4" t="s">
        <v>13</v>
      </c>
      <c r="E116" s="3" t="s">
        <v>17</v>
      </c>
      <c r="F116" s="4"/>
      <c r="G116" s="4"/>
    </row>
    <row r="117" spans="1:8">
      <c r="A117" s="2">
        <v>45955</v>
      </c>
      <c r="B117" s="3" t="s">
        <v>16</v>
      </c>
      <c r="C117" s="3"/>
      <c r="D117" s="3" t="s">
        <v>26</v>
      </c>
      <c r="E117" s="3" t="s">
        <v>17</v>
      </c>
      <c r="F117" s="3"/>
      <c r="G117" s="3"/>
    </row>
    <row r="118" spans="1:8">
      <c r="A118" s="2">
        <v>45956</v>
      </c>
      <c r="B118" s="3" t="s">
        <v>16</v>
      </c>
      <c r="C118" s="3"/>
      <c r="D118" s="3" t="s">
        <v>26</v>
      </c>
      <c r="E118" s="3" t="s">
        <v>17</v>
      </c>
      <c r="F118" s="3"/>
      <c r="G118" s="3"/>
    </row>
    <row r="119" spans="1:8">
      <c r="A119" s="8">
        <v>45957</v>
      </c>
      <c r="B119" s="4" t="s">
        <v>19</v>
      </c>
      <c r="C119" s="4" t="s">
        <v>26</v>
      </c>
      <c r="D119" s="4" t="s">
        <v>14</v>
      </c>
      <c r="E119" s="4" t="s">
        <v>18</v>
      </c>
      <c r="F119" s="4" t="s">
        <v>13</v>
      </c>
      <c r="G119" s="4"/>
    </row>
    <row r="120" spans="1:8">
      <c r="A120" s="8">
        <v>45958</v>
      </c>
      <c r="B120" s="4" t="s">
        <v>19</v>
      </c>
      <c r="C120" s="4" t="s">
        <v>26</v>
      </c>
      <c r="D120" s="4" t="s">
        <v>14</v>
      </c>
      <c r="E120" s="4" t="s">
        <v>18</v>
      </c>
      <c r="F120" s="4" t="s">
        <v>13</v>
      </c>
      <c r="G120" s="4"/>
    </row>
    <row r="121" spans="1:8">
      <c r="A121" s="8">
        <v>45959</v>
      </c>
      <c r="B121" s="4" t="s">
        <v>19</v>
      </c>
      <c r="C121" s="4" t="s">
        <v>26</v>
      </c>
      <c r="D121" s="4" t="s">
        <v>14</v>
      </c>
      <c r="E121" s="4" t="s">
        <v>18</v>
      </c>
      <c r="F121" s="4" t="s">
        <v>13</v>
      </c>
      <c r="G121" s="4"/>
    </row>
    <row r="122" spans="1:8">
      <c r="A122" s="8">
        <v>45960</v>
      </c>
      <c r="B122" s="4" t="s">
        <v>19</v>
      </c>
      <c r="C122" s="4" t="s">
        <v>26</v>
      </c>
      <c r="D122" s="4" t="s">
        <v>14</v>
      </c>
      <c r="E122" s="4" t="s">
        <v>18</v>
      </c>
      <c r="F122" s="4" t="s">
        <v>13</v>
      </c>
      <c r="G122" s="4"/>
    </row>
    <row r="123" spans="1:8">
      <c r="A123" s="8">
        <v>45961</v>
      </c>
      <c r="B123" s="4" t="s">
        <v>19</v>
      </c>
      <c r="C123" s="4" t="s">
        <v>26</v>
      </c>
      <c r="D123" s="4" t="s">
        <v>14</v>
      </c>
      <c r="E123" s="3" t="s">
        <v>22</v>
      </c>
      <c r="F123" s="4" t="s">
        <v>13</v>
      </c>
      <c r="G123" s="4"/>
    </row>
    <row r="124" spans="1:8">
      <c r="A124" s="9" t="s">
        <v>157</v>
      </c>
      <c r="B124" s="9" t="s">
        <v>157</v>
      </c>
      <c r="C124" s="9" t="s">
        <v>157</v>
      </c>
      <c r="D124" s="9" t="s">
        <v>157</v>
      </c>
      <c r="E124" s="9" t="s">
        <v>157</v>
      </c>
      <c r="F124" s="9" t="s">
        <v>157</v>
      </c>
      <c r="G124" s="9" t="s">
        <v>157</v>
      </c>
    </row>
    <row r="125" spans="1:8">
      <c r="A125" s="2">
        <v>45962</v>
      </c>
      <c r="B125" s="3" t="s">
        <v>19</v>
      </c>
      <c r="C125" s="3"/>
      <c r="D125" s="3" t="s">
        <v>14</v>
      </c>
      <c r="E125" s="3" t="s">
        <v>22</v>
      </c>
      <c r="F125" s="3"/>
      <c r="G125" s="3"/>
    </row>
    <row r="126" spans="1:8">
      <c r="A126" s="2">
        <v>45963</v>
      </c>
      <c r="B126" s="3" t="s">
        <v>19</v>
      </c>
      <c r="C126" s="3"/>
      <c r="D126" s="3" t="s">
        <v>14</v>
      </c>
      <c r="E126" s="3" t="s">
        <v>22</v>
      </c>
      <c r="F126" s="3"/>
      <c r="G126" s="3"/>
    </row>
    <row r="127" spans="1:8">
      <c r="A127" s="8">
        <v>45964</v>
      </c>
      <c r="B127" s="4" t="s">
        <v>20</v>
      </c>
      <c r="C127" s="4" t="s">
        <v>13</v>
      </c>
      <c r="D127" s="4" t="s">
        <v>130</v>
      </c>
      <c r="E127" s="4"/>
      <c r="F127" s="4" t="s">
        <v>26</v>
      </c>
      <c r="G127" s="4"/>
      <c r="H127" s="20"/>
    </row>
    <row r="128" spans="1:8">
      <c r="A128" s="8">
        <v>45965</v>
      </c>
      <c r="B128" s="4" t="s">
        <v>20</v>
      </c>
      <c r="C128" s="4" t="s">
        <v>13</v>
      </c>
      <c r="D128" s="4" t="s">
        <v>130</v>
      </c>
      <c r="E128" s="4"/>
      <c r="F128" s="4" t="s">
        <v>26</v>
      </c>
      <c r="G128" s="4"/>
    </row>
    <row r="129" spans="1:7">
      <c r="A129" s="8">
        <v>45966</v>
      </c>
      <c r="B129" s="4" t="s">
        <v>20</v>
      </c>
      <c r="C129" s="4" t="s">
        <v>13</v>
      </c>
      <c r="D129" s="4" t="s">
        <v>130</v>
      </c>
      <c r="E129" s="4"/>
      <c r="F129" s="4" t="s">
        <v>26</v>
      </c>
      <c r="G129" s="4"/>
    </row>
    <row r="130" spans="1:7">
      <c r="A130" s="8">
        <v>45967</v>
      </c>
      <c r="B130" s="4" t="s">
        <v>20</v>
      </c>
      <c r="C130" s="4" t="s">
        <v>13</v>
      </c>
      <c r="D130" s="4" t="s">
        <v>130</v>
      </c>
      <c r="E130" s="4"/>
      <c r="F130" s="4" t="s">
        <v>26</v>
      </c>
      <c r="G130" s="4"/>
    </row>
    <row r="131" spans="1:7">
      <c r="A131" s="8">
        <v>45968</v>
      </c>
      <c r="B131" s="4" t="s">
        <v>20</v>
      </c>
      <c r="C131" s="4" t="s">
        <v>13</v>
      </c>
      <c r="D131" s="4" t="s">
        <v>130</v>
      </c>
      <c r="E131" s="3"/>
      <c r="F131" s="4" t="s">
        <v>26</v>
      </c>
      <c r="G131" s="4" t="s">
        <v>131</v>
      </c>
    </row>
    <row r="132" spans="1:7">
      <c r="A132" s="2">
        <v>45969</v>
      </c>
      <c r="B132" s="3" t="s">
        <v>20</v>
      </c>
      <c r="C132" s="3"/>
      <c r="D132" s="3" t="s">
        <v>13</v>
      </c>
      <c r="E132" s="3"/>
      <c r="F132" s="3"/>
      <c r="G132" s="3"/>
    </row>
    <row r="133" spans="1:7">
      <c r="A133" s="2">
        <v>45970</v>
      </c>
      <c r="B133" s="3" t="s">
        <v>20</v>
      </c>
      <c r="C133" s="3"/>
      <c r="D133" s="3" t="s">
        <v>13</v>
      </c>
      <c r="E133" s="3"/>
      <c r="F133" s="3"/>
      <c r="G133" s="3"/>
    </row>
    <row r="134" spans="1:7">
      <c r="A134" s="8">
        <v>45971</v>
      </c>
      <c r="B134" s="4" t="s">
        <v>16</v>
      </c>
      <c r="C134" s="4" t="s">
        <v>14</v>
      </c>
      <c r="D134" s="4" t="s">
        <v>22</v>
      </c>
      <c r="E134" s="4"/>
      <c r="F134" s="4" t="s">
        <v>17</v>
      </c>
      <c r="G134" s="4"/>
    </row>
    <row r="135" spans="1:7">
      <c r="A135" s="8">
        <v>45972</v>
      </c>
      <c r="B135" s="4" t="s">
        <v>16</v>
      </c>
      <c r="C135" s="4" t="s">
        <v>14</v>
      </c>
      <c r="D135" s="4" t="s">
        <v>22</v>
      </c>
      <c r="E135" s="4"/>
      <c r="F135" s="4" t="s">
        <v>17</v>
      </c>
      <c r="G135" s="4"/>
    </row>
    <row r="136" spans="1:7">
      <c r="A136" s="8">
        <v>45973</v>
      </c>
      <c r="B136" s="4" t="s">
        <v>16</v>
      </c>
      <c r="C136" s="4" t="s">
        <v>14</v>
      </c>
      <c r="D136" s="4" t="s">
        <v>22</v>
      </c>
      <c r="E136" s="4"/>
      <c r="F136" s="4" t="s">
        <v>17</v>
      </c>
      <c r="G136" s="4"/>
    </row>
    <row r="137" spans="1:7">
      <c r="A137" s="8">
        <v>45974</v>
      </c>
      <c r="B137" s="4" t="s">
        <v>16</v>
      </c>
      <c r="C137" s="4" t="s">
        <v>14</v>
      </c>
      <c r="D137" s="4" t="s">
        <v>22</v>
      </c>
      <c r="E137" s="4"/>
      <c r="F137" s="4" t="s">
        <v>17</v>
      </c>
      <c r="G137" s="4"/>
    </row>
    <row r="138" spans="1:7">
      <c r="A138" s="8">
        <v>45975</v>
      </c>
      <c r="B138" s="4" t="s">
        <v>16</v>
      </c>
      <c r="C138" s="4" t="s">
        <v>14</v>
      </c>
      <c r="D138" s="4" t="s">
        <v>22</v>
      </c>
      <c r="E138" s="4" t="s">
        <v>18</v>
      </c>
      <c r="F138" s="4" t="s">
        <v>17</v>
      </c>
      <c r="G138" s="4"/>
    </row>
    <row r="139" spans="1:7">
      <c r="A139" s="2">
        <v>45976</v>
      </c>
      <c r="B139" s="3" t="s">
        <v>16</v>
      </c>
      <c r="C139" s="3"/>
      <c r="D139" s="3" t="s">
        <v>22</v>
      </c>
      <c r="E139" s="3" t="s">
        <v>18</v>
      </c>
      <c r="F139" s="3"/>
      <c r="G139" s="3"/>
    </row>
    <row r="140" spans="1:7">
      <c r="A140" s="2">
        <v>45977</v>
      </c>
      <c r="B140" s="3" t="s">
        <v>16</v>
      </c>
      <c r="C140" s="3"/>
      <c r="D140" s="3" t="s">
        <v>22</v>
      </c>
      <c r="E140" s="3" t="s">
        <v>18</v>
      </c>
      <c r="F140" s="3"/>
      <c r="G140" s="3"/>
    </row>
    <row r="141" spans="1:7">
      <c r="A141" s="8">
        <v>45978</v>
      </c>
      <c r="B141" s="4" t="s">
        <v>26</v>
      </c>
      <c r="C141" s="4" t="s">
        <v>19</v>
      </c>
      <c r="D141" s="4" t="s">
        <v>130</v>
      </c>
      <c r="E141" s="4" t="s">
        <v>18</v>
      </c>
      <c r="F141" s="4"/>
      <c r="G141" s="4"/>
    </row>
    <row r="142" spans="1:7">
      <c r="A142" s="8">
        <v>45979</v>
      </c>
      <c r="B142" s="4" t="s">
        <v>26</v>
      </c>
      <c r="C142" s="4" t="s">
        <v>19</v>
      </c>
      <c r="D142" s="4" t="s">
        <v>130</v>
      </c>
      <c r="E142" s="4" t="s">
        <v>18</v>
      </c>
      <c r="F142" s="4"/>
      <c r="G142" s="4"/>
    </row>
    <row r="143" spans="1:7">
      <c r="A143" s="8">
        <v>45980</v>
      </c>
      <c r="B143" s="4" t="s">
        <v>26</v>
      </c>
      <c r="C143" s="4" t="s">
        <v>19</v>
      </c>
      <c r="D143" s="4" t="s">
        <v>130</v>
      </c>
      <c r="E143" s="4" t="s">
        <v>18</v>
      </c>
      <c r="F143" s="4"/>
      <c r="G143" s="4"/>
    </row>
    <row r="144" spans="1:7">
      <c r="A144" s="8">
        <v>45981</v>
      </c>
      <c r="B144" s="4" t="s">
        <v>26</v>
      </c>
      <c r="C144" s="4" t="s">
        <v>19</v>
      </c>
      <c r="D144" s="4" t="s">
        <v>130</v>
      </c>
      <c r="E144" s="4" t="s">
        <v>18</v>
      </c>
      <c r="F144" s="4"/>
      <c r="G144" s="4"/>
    </row>
    <row r="145" spans="1:8">
      <c r="A145" s="8">
        <v>45982</v>
      </c>
      <c r="B145" s="4" t="s">
        <v>26</v>
      </c>
      <c r="C145" s="4" t="s">
        <v>19</v>
      </c>
      <c r="D145" s="4" t="s">
        <v>130</v>
      </c>
      <c r="E145" s="3"/>
      <c r="F145" s="4"/>
      <c r="G145" s="4"/>
    </row>
    <row r="146" spans="1:8">
      <c r="A146" s="2">
        <v>45983</v>
      </c>
      <c r="B146" s="3" t="s">
        <v>19</v>
      </c>
      <c r="C146" s="3"/>
      <c r="D146" s="3" t="s">
        <v>130</v>
      </c>
      <c r="E146" s="3"/>
      <c r="F146" s="3"/>
      <c r="G146" s="3"/>
      <c r="H146" t="s">
        <v>158</v>
      </c>
    </row>
    <row r="147" spans="1:8">
      <c r="A147" s="2">
        <v>45984</v>
      </c>
      <c r="B147" s="3" t="s">
        <v>19</v>
      </c>
      <c r="C147" s="3"/>
      <c r="D147" s="3" t="s">
        <v>130</v>
      </c>
      <c r="E147" s="3"/>
      <c r="F147" s="3"/>
      <c r="G147" s="3"/>
      <c r="H147" t="s">
        <v>158</v>
      </c>
    </row>
    <row r="148" spans="1:8">
      <c r="A148" s="8">
        <v>45985</v>
      </c>
      <c r="B148" s="4" t="s">
        <v>20</v>
      </c>
      <c r="C148" s="4" t="s">
        <v>27</v>
      </c>
      <c r="D148" s="4" t="s">
        <v>17</v>
      </c>
      <c r="E148" s="4"/>
      <c r="F148" s="4"/>
      <c r="G148" s="4" t="s">
        <v>159</v>
      </c>
      <c r="H148" t="s">
        <v>158</v>
      </c>
    </row>
    <row r="149" spans="1:8">
      <c r="A149" s="8">
        <v>45986</v>
      </c>
      <c r="B149" s="4" t="s">
        <v>20</v>
      </c>
      <c r="C149" s="4" t="s">
        <v>27</v>
      </c>
      <c r="D149" s="4" t="s">
        <v>17</v>
      </c>
      <c r="E149" s="4"/>
      <c r="F149" s="4"/>
      <c r="G149" s="4" t="s">
        <v>159</v>
      </c>
      <c r="H149" t="s">
        <v>158</v>
      </c>
    </row>
    <row r="150" spans="1:8">
      <c r="A150" s="8">
        <v>45987</v>
      </c>
      <c r="B150" s="4" t="s">
        <v>20</v>
      </c>
      <c r="C150" s="4" t="s">
        <v>27</v>
      </c>
      <c r="D150" s="4" t="s">
        <v>17</v>
      </c>
      <c r="E150" s="4"/>
      <c r="F150" s="4"/>
      <c r="G150" s="4" t="s">
        <v>159</v>
      </c>
      <c r="H150" t="s">
        <v>158</v>
      </c>
    </row>
    <row r="151" spans="1:8">
      <c r="A151" s="7">
        <v>45988</v>
      </c>
      <c r="B151" s="10" t="s">
        <v>27</v>
      </c>
      <c r="C151" s="10"/>
      <c r="D151" s="10" t="s">
        <v>17</v>
      </c>
      <c r="E151" s="10"/>
      <c r="F151" s="10"/>
      <c r="G151" s="10" t="s">
        <v>159</v>
      </c>
      <c r="H151" t="s">
        <v>158</v>
      </c>
    </row>
    <row r="152" spans="1:8">
      <c r="A152" s="8">
        <v>45989</v>
      </c>
      <c r="B152" s="4" t="s">
        <v>20</v>
      </c>
      <c r="C152" s="4" t="s">
        <v>27</v>
      </c>
      <c r="D152" s="4" t="s">
        <v>17</v>
      </c>
      <c r="E152" s="3"/>
      <c r="F152" s="4"/>
      <c r="G152" s="4" t="s">
        <v>159</v>
      </c>
      <c r="H152" t="s">
        <v>158</v>
      </c>
    </row>
    <row r="153" spans="1:8">
      <c r="A153" s="2">
        <v>45990</v>
      </c>
      <c r="B153" s="3" t="s">
        <v>27</v>
      </c>
      <c r="C153" s="3"/>
      <c r="D153" s="3" t="s">
        <v>17</v>
      </c>
      <c r="E153" s="3"/>
      <c r="F153" s="3"/>
      <c r="G153" s="3"/>
      <c r="H153" t="s">
        <v>158</v>
      </c>
    </row>
    <row r="154" spans="1:8">
      <c r="A154" s="2">
        <v>45991</v>
      </c>
      <c r="B154" s="3" t="s">
        <v>27</v>
      </c>
      <c r="C154" s="3"/>
      <c r="D154" s="3" t="s">
        <v>17</v>
      </c>
      <c r="E154" s="3"/>
      <c r="F154" s="3"/>
      <c r="G154" s="3"/>
      <c r="H154" t="s">
        <v>158</v>
      </c>
    </row>
    <row r="155" spans="1:8">
      <c r="A155" s="9" t="s">
        <v>160</v>
      </c>
      <c r="B155" s="9" t="s">
        <v>160</v>
      </c>
      <c r="C155" s="9" t="s">
        <v>160</v>
      </c>
      <c r="D155" s="9" t="s">
        <v>160</v>
      </c>
      <c r="E155" s="9" t="s">
        <v>160</v>
      </c>
      <c r="F155" s="9" t="s">
        <v>160</v>
      </c>
      <c r="G155" s="9" t="s">
        <v>160</v>
      </c>
    </row>
    <row r="156" spans="1:8">
      <c r="A156" s="8">
        <v>45992</v>
      </c>
      <c r="B156" s="4" t="s">
        <v>16</v>
      </c>
      <c r="C156" s="4" t="s">
        <v>13</v>
      </c>
      <c r="D156" s="4" t="s">
        <v>130</v>
      </c>
      <c r="E156" s="4"/>
      <c r="F156" s="4"/>
      <c r="G156" s="4"/>
      <c r="H156" t="s">
        <v>161</v>
      </c>
    </row>
    <row r="157" spans="1:8">
      <c r="A157" s="8">
        <v>45993</v>
      </c>
      <c r="B157" s="4" t="s">
        <v>16</v>
      </c>
      <c r="C157" s="4" t="s">
        <v>13</v>
      </c>
      <c r="D157" s="4" t="s">
        <v>130</v>
      </c>
      <c r="E157" s="4"/>
      <c r="F157" s="4"/>
      <c r="G157" s="4"/>
    </row>
    <row r="158" spans="1:8">
      <c r="A158" s="8">
        <v>45994</v>
      </c>
      <c r="B158" s="4" t="s">
        <v>16</v>
      </c>
      <c r="C158" s="4" t="s">
        <v>13</v>
      </c>
      <c r="D158" s="4" t="s">
        <v>130</v>
      </c>
      <c r="E158" s="4"/>
      <c r="F158" s="4"/>
      <c r="G158" s="4"/>
    </row>
    <row r="159" spans="1:8">
      <c r="A159" s="8">
        <v>45995</v>
      </c>
      <c r="B159" s="4" t="s">
        <v>16</v>
      </c>
      <c r="C159" s="4" t="s">
        <v>13</v>
      </c>
      <c r="D159" s="4" t="s">
        <v>130</v>
      </c>
      <c r="E159" s="4"/>
      <c r="F159" s="4"/>
      <c r="G159" s="4"/>
    </row>
    <row r="160" spans="1:8">
      <c r="A160" s="8">
        <v>45996</v>
      </c>
      <c r="B160" s="4" t="s">
        <v>16</v>
      </c>
      <c r="C160" s="4" t="s">
        <v>13</v>
      </c>
      <c r="D160" s="4" t="s">
        <v>130</v>
      </c>
      <c r="E160" s="3"/>
      <c r="F160" s="4"/>
      <c r="G160" s="4"/>
    </row>
    <row r="161" spans="1:8">
      <c r="A161" s="2">
        <v>45997</v>
      </c>
      <c r="B161" s="3" t="s">
        <v>19</v>
      </c>
      <c r="C161" s="3"/>
      <c r="D161" s="3" t="s">
        <v>130</v>
      </c>
      <c r="E161" s="3"/>
      <c r="F161" s="3"/>
      <c r="G161" s="3"/>
    </row>
    <row r="162" spans="1:8">
      <c r="A162" s="2">
        <v>45998</v>
      </c>
      <c r="B162" s="3" t="s">
        <v>19</v>
      </c>
      <c r="C162" s="3"/>
      <c r="D162" s="3" t="s">
        <v>130</v>
      </c>
      <c r="E162" s="3"/>
      <c r="F162" s="3"/>
      <c r="G162" s="3"/>
    </row>
    <row r="163" spans="1:8">
      <c r="A163" s="8">
        <v>45999</v>
      </c>
      <c r="B163" s="4" t="s">
        <v>17</v>
      </c>
      <c r="C163" s="4" t="s">
        <v>18</v>
      </c>
      <c r="D163" s="4" t="s">
        <v>14</v>
      </c>
      <c r="E163" s="4"/>
      <c r="F163" s="4"/>
      <c r="G163" s="4"/>
    </row>
    <row r="164" spans="1:8">
      <c r="A164" s="8">
        <v>46000</v>
      </c>
      <c r="B164" s="4" t="s">
        <v>17</v>
      </c>
      <c r="C164" s="4" t="s">
        <v>18</v>
      </c>
      <c r="D164" s="4" t="s">
        <v>14</v>
      </c>
      <c r="E164" s="4"/>
      <c r="F164" s="4"/>
      <c r="G164" s="4"/>
    </row>
    <row r="165" spans="1:8">
      <c r="A165" s="8">
        <v>46001</v>
      </c>
      <c r="B165" s="4" t="s">
        <v>17</v>
      </c>
      <c r="C165" s="4" t="s">
        <v>18</v>
      </c>
      <c r="D165" s="4" t="s">
        <v>14</v>
      </c>
      <c r="E165" s="4"/>
      <c r="F165" s="4"/>
      <c r="G165" s="4"/>
    </row>
    <row r="166" spans="1:8">
      <c r="A166" s="8">
        <v>46002</v>
      </c>
      <c r="B166" s="4" t="s">
        <v>17</v>
      </c>
      <c r="C166" s="4" t="s">
        <v>18</v>
      </c>
      <c r="D166" s="4" t="s">
        <v>14</v>
      </c>
      <c r="E166" s="4"/>
      <c r="F166" s="4"/>
      <c r="G166" s="4"/>
    </row>
    <row r="167" spans="1:8">
      <c r="A167" s="8">
        <v>46003</v>
      </c>
      <c r="B167" s="4" t="s">
        <v>17</v>
      </c>
      <c r="C167" s="4" t="s">
        <v>18</v>
      </c>
      <c r="D167" s="4" t="s">
        <v>14</v>
      </c>
      <c r="E167" s="3" t="s">
        <v>16</v>
      </c>
      <c r="F167" s="4"/>
      <c r="G167" s="4"/>
    </row>
    <row r="168" spans="1:8">
      <c r="A168" s="2">
        <v>46004</v>
      </c>
      <c r="B168" s="3" t="s">
        <v>22</v>
      </c>
      <c r="C168" s="3"/>
      <c r="D168" s="3" t="s">
        <v>14</v>
      </c>
      <c r="E168" s="3" t="s">
        <v>16</v>
      </c>
      <c r="F168" s="3"/>
      <c r="G168" s="3"/>
    </row>
    <row r="169" spans="1:8">
      <c r="A169" s="2">
        <v>46005</v>
      </c>
      <c r="B169" s="3" t="s">
        <v>22</v>
      </c>
      <c r="C169" s="3"/>
      <c r="D169" s="3" t="s">
        <v>14</v>
      </c>
      <c r="E169" s="3" t="s">
        <v>16</v>
      </c>
      <c r="F169" s="3"/>
      <c r="G169" s="3"/>
    </row>
    <row r="170" spans="1:8">
      <c r="A170" s="8">
        <v>46006</v>
      </c>
      <c r="B170" s="4" t="s">
        <v>27</v>
      </c>
      <c r="C170" s="4" t="s">
        <v>130</v>
      </c>
      <c r="D170" s="4" t="s">
        <v>19</v>
      </c>
      <c r="E170" s="4"/>
      <c r="F170" s="4"/>
      <c r="G170" s="4"/>
      <c r="H170" s="20"/>
    </row>
    <row r="171" spans="1:8">
      <c r="A171" s="8">
        <v>46007</v>
      </c>
      <c r="B171" s="4" t="s">
        <v>27</v>
      </c>
      <c r="C171" s="4" t="s">
        <v>130</v>
      </c>
      <c r="D171" s="4" t="s">
        <v>19</v>
      </c>
      <c r="E171" s="4"/>
      <c r="F171" s="4"/>
      <c r="G171" s="4"/>
    </row>
    <row r="172" spans="1:8">
      <c r="A172" s="8">
        <v>46008</v>
      </c>
      <c r="B172" s="4" t="s">
        <v>27</v>
      </c>
      <c r="C172" s="4" t="s">
        <v>130</v>
      </c>
      <c r="D172" s="4" t="s">
        <v>19</v>
      </c>
      <c r="E172" s="4"/>
      <c r="F172" s="4"/>
      <c r="G172" s="4"/>
    </row>
    <row r="173" spans="1:8">
      <c r="A173" s="8">
        <v>46009</v>
      </c>
      <c r="B173" s="4" t="s">
        <v>27</v>
      </c>
      <c r="C173" s="4" t="s">
        <v>130</v>
      </c>
      <c r="D173" s="4" t="s">
        <v>19</v>
      </c>
      <c r="E173" s="4"/>
      <c r="F173" s="4"/>
      <c r="G173" s="4"/>
    </row>
    <row r="174" spans="1:8">
      <c r="A174" s="8">
        <v>46010</v>
      </c>
      <c r="B174" s="4" t="s">
        <v>27</v>
      </c>
      <c r="C174" s="4" t="s">
        <v>130</v>
      </c>
      <c r="D174" s="4" t="s">
        <v>19</v>
      </c>
      <c r="E174" s="3"/>
      <c r="F174" s="4"/>
      <c r="G174" s="4"/>
    </row>
    <row r="175" spans="1:8">
      <c r="A175" s="2">
        <v>46011</v>
      </c>
      <c r="B175" s="3" t="s">
        <v>27</v>
      </c>
      <c r="C175" s="3"/>
      <c r="D175" s="3" t="s">
        <v>13</v>
      </c>
      <c r="E175" s="3"/>
      <c r="F175" s="3"/>
      <c r="G175" s="3"/>
    </row>
    <row r="176" spans="1:8">
      <c r="A176" s="2">
        <v>46012</v>
      </c>
      <c r="B176" s="3" t="s">
        <v>27</v>
      </c>
      <c r="C176" s="3"/>
      <c r="D176" s="3" t="s">
        <v>13</v>
      </c>
      <c r="E176" s="3"/>
      <c r="F176" s="3"/>
      <c r="G176" s="3"/>
    </row>
    <row r="177" spans="1:8">
      <c r="A177" s="8">
        <v>46013</v>
      </c>
      <c r="B177" s="4" t="s">
        <v>19</v>
      </c>
      <c r="C177" s="4" t="s">
        <v>22</v>
      </c>
      <c r="D177" s="4" t="s">
        <v>18</v>
      </c>
      <c r="E177" s="4"/>
      <c r="F177" s="4"/>
      <c r="G177" s="4" t="s">
        <v>14</v>
      </c>
    </row>
    <row r="178" spans="1:8">
      <c r="A178" s="8">
        <v>46014</v>
      </c>
      <c r="B178" s="4" t="s">
        <v>19</v>
      </c>
      <c r="C178" s="4" t="s">
        <v>22</v>
      </c>
      <c r="D178" s="4" t="s">
        <v>18</v>
      </c>
      <c r="E178" s="4"/>
      <c r="F178" s="4"/>
      <c r="G178" s="4" t="s">
        <v>14</v>
      </c>
    </row>
    <row r="179" spans="1:8">
      <c r="A179" s="8">
        <v>46015</v>
      </c>
      <c r="B179" s="4" t="s">
        <v>19</v>
      </c>
      <c r="C179" s="4" t="s">
        <v>22</v>
      </c>
      <c r="D179" s="4" t="s">
        <v>18</v>
      </c>
      <c r="E179" s="4"/>
      <c r="F179" s="4"/>
      <c r="G179" s="4" t="s">
        <v>14</v>
      </c>
    </row>
    <row r="180" spans="1:8">
      <c r="A180" s="7">
        <v>46016</v>
      </c>
      <c r="B180" s="10" t="s">
        <v>22</v>
      </c>
      <c r="C180" s="10"/>
      <c r="D180" s="10" t="s">
        <v>18</v>
      </c>
      <c r="E180" s="10"/>
      <c r="F180" s="10"/>
      <c r="G180" s="10" t="s">
        <v>14</v>
      </c>
    </row>
    <row r="181" spans="1:8">
      <c r="A181" s="8">
        <v>46017</v>
      </c>
      <c r="B181" s="4" t="s">
        <v>19</v>
      </c>
      <c r="C181" s="4" t="s">
        <v>22</v>
      </c>
      <c r="D181" s="4" t="s">
        <v>18</v>
      </c>
      <c r="E181" s="3"/>
      <c r="F181" s="4"/>
      <c r="G181" s="4" t="s">
        <v>14</v>
      </c>
    </row>
    <row r="182" spans="1:8">
      <c r="A182" s="2">
        <v>46018</v>
      </c>
      <c r="B182" s="3" t="s">
        <v>22</v>
      </c>
      <c r="C182" s="3"/>
      <c r="D182" s="3" t="s">
        <v>18</v>
      </c>
      <c r="E182" s="3"/>
      <c r="F182" s="3"/>
      <c r="G182" s="3"/>
    </row>
    <row r="183" spans="1:8">
      <c r="A183" s="2">
        <v>46019</v>
      </c>
      <c r="B183" s="3" t="s">
        <v>22</v>
      </c>
      <c r="C183" s="3"/>
      <c r="D183" s="3" t="s">
        <v>18</v>
      </c>
      <c r="E183" s="3"/>
      <c r="F183" s="3"/>
      <c r="G183" s="3"/>
    </row>
    <row r="184" spans="1:8">
      <c r="A184" s="8">
        <v>46020</v>
      </c>
      <c r="B184" s="4" t="s">
        <v>13</v>
      </c>
      <c r="C184" s="4" t="s">
        <v>17</v>
      </c>
      <c r="D184" s="4" t="s">
        <v>14</v>
      </c>
      <c r="E184" s="4"/>
      <c r="F184" s="4"/>
      <c r="G184" s="4" t="s">
        <v>22</v>
      </c>
    </row>
    <row r="185" spans="1:8">
      <c r="A185" s="8">
        <v>46021</v>
      </c>
      <c r="B185" s="4" t="s">
        <v>13</v>
      </c>
      <c r="C185" s="4" t="s">
        <v>17</v>
      </c>
      <c r="D185" s="4" t="s">
        <v>14</v>
      </c>
      <c r="E185" s="4"/>
      <c r="F185" s="4"/>
      <c r="G185" s="4" t="s">
        <v>22</v>
      </c>
      <c r="H185" t="s">
        <v>162</v>
      </c>
    </row>
    <row r="186" spans="1:8">
      <c r="A186" s="8">
        <v>46022</v>
      </c>
      <c r="B186" s="4" t="s">
        <v>13</v>
      </c>
      <c r="C186" s="4" t="s">
        <v>17</v>
      </c>
      <c r="D186" s="4" t="s">
        <v>14</v>
      </c>
      <c r="E186" s="4"/>
      <c r="F186" s="4"/>
      <c r="G186" s="4" t="s">
        <v>22</v>
      </c>
      <c r="H186" t="s">
        <v>162</v>
      </c>
    </row>
    <row r="187" spans="1:8">
      <c r="A187" s="6">
        <v>2026</v>
      </c>
      <c r="B187" s="6">
        <v>2026</v>
      </c>
      <c r="C187" s="6">
        <v>2026</v>
      </c>
      <c r="D187" s="6">
        <v>2026</v>
      </c>
      <c r="E187" s="6">
        <v>2026</v>
      </c>
      <c r="F187" s="6">
        <v>2026</v>
      </c>
      <c r="G187" s="6">
        <v>2026</v>
      </c>
      <c r="H187" s="6">
        <v>2026</v>
      </c>
    </row>
    <row r="188" spans="1:8">
      <c r="A188" s="7">
        <v>46023</v>
      </c>
      <c r="B188" s="10" t="s">
        <v>13</v>
      </c>
      <c r="C188" s="10"/>
      <c r="D188" s="10" t="s">
        <v>14</v>
      </c>
      <c r="E188" s="10"/>
      <c r="F188" s="10"/>
      <c r="G188" s="10" t="s">
        <v>22</v>
      </c>
      <c r="H188" s="10"/>
    </row>
    <row r="189" spans="1:8">
      <c r="A189" s="8">
        <v>46024</v>
      </c>
      <c r="B189" s="4" t="s">
        <v>13</v>
      </c>
      <c r="C189" s="4" t="s">
        <v>17</v>
      </c>
      <c r="D189" s="4" t="s">
        <v>14</v>
      </c>
      <c r="E189" s="3"/>
      <c r="F189" s="4"/>
      <c r="G189" s="4" t="s">
        <v>22</v>
      </c>
      <c r="H189" t="s">
        <v>162</v>
      </c>
    </row>
    <row r="190" spans="1:8">
      <c r="A190" s="2">
        <v>46025</v>
      </c>
      <c r="B190" s="3"/>
      <c r="C190" s="3"/>
      <c r="D190" s="3"/>
      <c r="E190" s="3"/>
      <c r="F190" s="3"/>
      <c r="G190" s="3"/>
      <c r="H190" s="18" t="s">
        <v>162</v>
      </c>
    </row>
    <row r="191" spans="1:8">
      <c r="A191" s="2">
        <v>46026</v>
      </c>
      <c r="B191" s="3"/>
      <c r="C191" s="3"/>
      <c r="D191" s="3"/>
      <c r="E191" s="3"/>
      <c r="F191" s="3"/>
      <c r="G191" s="3"/>
      <c r="H191" s="18" t="s">
        <v>162</v>
      </c>
    </row>
    <row r="192" spans="1:8">
      <c r="A192" s="1"/>
    </row>
    <row r="193" spans="1:4">
      <c r="A193" s="1"/>
      <c r="B193" t="s">
        <v>96</v>
      </c>
    </row>
    <row r="194" spans="1:4">
      <c r="A194" s="1"/>
      <c r="B194" t="s">
        <v>22</v>
      </c>
    </row>
    <row r="195" spans="1:4">
      <c r="A195" s="1"/>
      <c r="B195" t="s">
        <v>17</v>
      </c>
    </row>
    <row r="196" spans="1:4">
      <c r="A196" s="1"/>
      <c r="B196" t="s">
        <v>163</v>
      </c>
      <c r="D196" s="74" t="s">
        <v>101</v>
      </c>
    </row>
    <row r="197" spans="1:4">
      <c r="A197" s="1"/>
      <c r="B197" t="s">
        <v>18</v>
      </c>
      <c r="D197" s="74"/>
    </row>
    <row r="198" spans="1:4">
      <c r="A198" s="1"/>
      <c r="B198" t="s">
        <v>16</v>
      </c>
      <c r="D198" s="74" t="s">
        <v>130</v>
      </c>
    </row>
    <row r="199" spans="1:4">
      <c r="A199" s="1"/>
      <c r="B199" t="s">
        <v>164</v>
      </c>
      <c r="D199" s="74"/>
    </row>
    <row r="200" spans="1:4">
      <c r="A200" s="1"/>
      <c r="D200" s="74"/>
    </row>
    <row r="201" spans="1:4">
      <c r="A201" s="1"/>
      <c r="D201" s="124" t="s">
        <v>90</v>
      </c>
    </row>
    <row r="202" spans="1:4">
      <c r="A202" s="1"/>
    </row>
    <row r="203" spans="1:4">
      <c r="A203" s="1"/>
      <c r="D203" s="20"/>
    </row>
    <row r="204" spans="1:4">
      <c r="A204" s="1"/>
      <c r="D204" s="125"/>
    </row>
    <row r="205" spans="1:4">
      <c r="A205" s="1"/>
      <c r="D205" s="126" t="s">
        <v>26</v>
      </c>
    </row>
    <row r="206" spans="1:4">
      <c r="A206" s="1"/>
      <c r="D206" s="75" t="s">
        <v>67</v>
      </c>
    </row>
    <row r="207" spans="1:4">
      <c r="A207" s="1"/>
      <c r="D207" s="75" t="s">
        <v>120</v>
      </c>
    </row>
    <row r="208" spans="1:4">
      <c r="A208" s="1"/>
      <c r="D208" s="75" t="s">
        <v>61</v>
      </c>
    </row>
    <row r="209" spans="1:4">
      <c r="A209" s="1"/>
      <c r="D209" s="75"/>
    </row>
    <row r="210" spans="1:4">
      <c r="A210" s="1"/>
      <c r="D210" s="75" t="s">
        <v>49</v>
      </c>
    </row>
    <row r="211" spans="1:4">
      <c r="A211" s="1"/>
    </row>
    <row r="212" spans="1:4">
      <c r="A212" s="1"/>
    </row>
    <row r="213" spans="1:4">
      <c r="A213" s="1"/>
    </row>
    <row r="214" spans="1:4">
      <c r="A214" s="1"/>
    </row>
    <row r="215" spans="1:4">
      <c r="A215" s="1"/>
    </row>
    <row r="216" spans="1:4">
      <c r="A216" s="1"/>
    </row>
    <row r="217" spans="1:4">
      <c r="A217" s="1"/>
    </row>
    <row r="218" spans="1:4">
      <c r="A218" s="1"/>
    </row>
    <row r="219" spans="1:4">
      <c r="A219" s="1"/>
    </row>
    <row r="220" spans="1:4">
      <c r="A220" s="1"/>
    </row>
    <row r="221" spans="1:4">
      <c r="A221" s="1"/>
    </row>
  </sheetData>
  <autoFilter ref="A1:F191" xr:uid="{080507E2-9BB9-4455-8317-31B7E7DB8DFF}"/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CAEAB3-EC64-4E3C-9412-5E57EE8C9975}">
  <dimension ref="A1:P62"/>
  <sheetViews>
    <sheetView zoomScaleNormal="100" workbookViewId="0">
      <pane xSplit="1" topLeftCell="B1" activePane="topRight" state="frozen"/>
      <selection pane="topRight" activeCell="O4" sqref="H3:O4"/>
    </sheetView>
  </sheetViews>
  <sheetFormatPr defaultRowHeight="15"/>
  <cols>
    <col min="1" max="1" width="19" customWidth="1"/>
    <col min="2" max="2" width="15.5703125" customWidth="1"/>
    <col min="3" max="3" width="16" customWidth="1"/>
    <col min="4" max="4" width="17.42578125" customWidth="1"/>
    <col min="5" max="7" width="16" customWidth="1"/>
    <col min="8" max="8" width="15.42578125" customWidth="1"/>
    <col min="9" max="9" width="13.42578125" customWidth="1"/>
    <col min="10" max="10" width="12.140625" customWidth="1"/>
    <col min="11" max="11" width="11.7109375" customWidth="1"/>
    <col min="13" max="13" width="17.7109375" customWidth="1"/>
    <col min="14" max="14" width="19.5703125" customWidth="1"/>
    <col min="15" max="15" width="15.140625" bestFit="1" customWidth="1"/>
    <col min="16" max="16" width="16" bestFit="1" customWidth="1"/>
    <col min="17" max="17" width="17.5703125" customWidth="1"/>
  </cols>
  <sheetData>
    <row r="1" spans="1:16">
      <c r="A1" s="22" t="s">
        <v>165</v>
      </c>
    </row>
    <row r="2" spans="1:16">
      <c r="A2" s="23" t="s">
        <v>73</v>
      </c>
      <c r="B2" s="24" t="s">
        <v>74</v>
      </c>
      <c r="C2" s="24" t="s">
        <v>2</v>
      </c>
      <c r="D2" s="24" t="s">
        <v>166</v>
      </c>
      <c r="E2" s="24" t="s">
        <v>76</v>
      </c>
      <c r="F2" s="24" t="s">
        <v>167</v>
      </c>
      <c r="G2" s="24" t="s">
        <v>3</v>
      </c>
      <c r="H2" s="24" t="s">
        <v>78</v>
      </c>
      <c r="I2" s="24" t="s">
        <v>79</v>
      </c>
      <c r="J2" s="25" t="s">
        <v>80</v>
      </c>
      <c r="K2" s="15" t="s">
        <v>81</v>
      </c>
      <c r="L2" s="14" t="s">
        <v>82</v>
      </c>
      <c r="M2" s="14" t="s">
        <v>83</v>
      </c>
      <c r="N2" s="14" t="s">
        <v>84</v>
      </c>
      <c r="O2" s="14" t="s">
        <v>85</v>
      </c>
    </row>
    <row r="3" spans="1:16">
      <c r="A3" s="4" t="s">
        <v>127</v>
      </c>
      <c r="B3" s="26">
        <f t="shared" ref="B3:I13" si="0">B31+B17</f>
        <v>6</v>
      </c>
      <c r="C3" s="26">
        <f t="shared" si="0"/>
        <v>5</v>
      </c>
      <c r="D3" s="26">
        <f t="shared" si="0"/>
        <v>4</v>
      </c>
      <c r="E3" s="26">
        <f t="shared" si="0"/>
        <v>5</v>
      </c>
      <c r="F3" s="26">
        <f>F31+F17</f>
        <v>4</v>
      </c>
      <c r="G3" s="26">
        <f t="shared" si="0"/>
        <v>6</v>
      </c>
      <c r="H3" s="30">
        <f t="shared" si="0"/>
        <v>6</v>
      </c>
      <c r="I3" s="30">
        <f t="shared" si="0"/>
        <v>5</v>
      </c>
      <c r="J3" s="28">
        <f t="shared" ref="J3:J12" si="1">I3+G3+D3+C3+B3</f>
        <v>26</v>
      </c>
      <c r="K3" s="31">
        <f>E3+F3+H3</f>
        <v>15</v>
      </c>
      <c r="L3" s="32">
        <v>28</v>
      </c>
      <c r="M3" s="33">
        <v>14</v>
      </c>
      <c r="N3">
        <f>L3-J3</f>
        <v>2</v>
      </c>
      <c r="O3">
        <f>M3-K3</f>
        <v>-1</v>
      </c>
      <c r="P3" t="s">
        <v>168</v>
      </c>
    </row>
    <row r="4" spans="1:16">
      <c r="A4" s="4" t="s">
        <v>17</v>
      </c>
      <c r="B4" s="26">
        <f t="shared" ref="B4" si="2">B32+B18</f>
        <v>5</v>
      </c>
      <c r="C4" s="26">
        <f t="shared" ref="C4" si="3">C32+C18</f>
        <v>6</v>
      </c>
      <c r="D4" s="26">
        <f t="shared" ref="D4" si="4">D32+D18</f>
        <v>4</v>
      </c>
      <c r="E4" s="26">
        <f t="shared" ref="E4" si="5">E32+E18</f>
        <v>7</v>
      </c>
      <c r="F4" s="26">
        <f t="shared" si="0"/>
        <v>4</v>
      </c>
      <c r="G4" s="26">
        <f t="shared" ref="G4:I4" si="6">G32+G18</f>
        <v>5</v>
      </c>
      <c r="H4" s="30">
        <f t="shared" si="6"/>
        <v>2</v>
      </c>
      <c r="I4" s="30">
        <f t="shared" si="6"/>
        <v>4</v>
      </c>
      <c r="J4" s="28">
        <f t="shared" si="1"/>
        <v>24</v>
      </c>
      <c r="K4" s="31">
        <f t="shared" ref="K4:K13" si="7">E4+F4+H4</f>
        <v>13</v>
      </c>
      <c r="L4" s="34">
        <v>25</v>
      </c>
      <c r="M4" s="35">
        <v>14</v>
      </c>
      <c r="N4">
        <f t="shared" ref="N4:O13" si="8">L4-J4</f>
        <v>1</v>
      </c>
      <c r="O4">
        <f t="shared" si="8"/>
        <v>1</v>
      </c>
    </row>
    <row r="5" spans="1:16">
      <c r="A5" s="4" t="s">
        <v>20</v>
      </c>
      <c r="B5" s="26">
        <f t="shared" ref="B5" si="9">B33+B19</f>
        <v>6</v>
      </c>
      <c r="C5" s="26">
        <f t="shared" ref="C5" si="10">C33+C19</f>
        <v>5</v>
      </c>
      <c r="D5" s="26">
        <f t="shared" ref="D5" si="11">D33+D19</f>
        <v>5</v>
      </c>
      <c r="E5" s="26">
        <f t="shared" ref="E5" si="12">E33+E19</f>
        <v>5</v>
      </c>
      <c r="F5" s="26">
        <f t="shared" si="0"/>
        <v>4</v>
      </c>
      <c r="G5" s="26">
        <f t="shared" ref="G5:I5" si="13">G33+G19</f>
        <v>7</v>
      </c>
      <c r="H5" s="30">
        <f t="shared" si="13"/>
        <v>5</v>
      </c>
      <c r="I5" s="30">
        <f t="shared" si="13"/>
        <v>4.5</v>
      </c>
      <c r="J5" s="28">
        <f t="shared" si="1"/>
        <v>27.5</v>
      </c>
      <c r="K5" s="31">
        <f t="shared" si="7"/>
        <v>14</v>
      </c>
      <c r="L5" s="36">
        <v>28</v>
      </c>
      <c r="M5" s="37">
        <v>14</v>
      </c>
      <c r="N5">
        <f t="shared" si="8"/>
        <v>0.5</v>
      </c>
      <c r="O5">
        <f t="shared" si="8"/>
        <v>0</v>
      </c>
    </row>
    <row r="6" spans="1:16">
      <c r="A6" s="4" t="s">
        <v>14</v>
      </c>
      <c r="B6" s="26">
        <f t="shared" ref="B6" si="14">B34+B20</f>
        <v>5</v>
      </c>
      <c r="C6" s="26">
        <f t="shared" ref="C6" si="15">C34+C20</f>
        <v>6</v>
      </c>
      <c r="D6" s="26">
        <f t="shared" ref="D6" si="16">D34+D20</f>
        <v>4</v>
      </c>
      <c r="E6" s="26">
        <f t="shared" ref="E6" si="17">E34+E20</f>
        <v>4</v>
      </c>
      <c r="F6" s="26">
        <f t="shared" si="0"/>
        <v>4</v>
      </c>
      <c r="G6" s="26">
        <f t="shared" ref="G6:I6" si="18">G34+G20</f>
        <v>7</v>
      </c>
      <c r="H6" s="30">
        <f t="shared" si="18"/>
        <v>6</v>
      </c>
      <c r="I6" s="30">
        <f t="shared" si="18"/>
        <v>5</v>
      </c>
      <c r="J6" s="28">
        <f t="shared" si="1"/>
        <v>27</v>
      </c>
      <c r="K6" s="31">
        <f t="shared" si="7"/>
        <v>14</v>
      </c>
      <c r="L6" s="38">
        <v>28</v>
      </c>
      <c r="M6" s="39">
        <v>14</v>
      </c>
      <c r="N6">
        <f t="shared" si="8"/>
        <v>1</v>
      </c>
      <c r="O6">
        <f t="shared" si="8"/>
        <v>0</v>
      </c>
    </row>
    <row r="7" spans="1:16">
      <c r="A7" s="4" t="s">
        <v>18</v>
      </c>
      <c r="B7" s="26">
        <f t="shared" ref="B7" si="19">B35+B21</f>
        <v>3</v>
      </c>
      <c r="C7" s="26">
        <f t="shared" ref="C7" si="20">C35+C21</f>
        <v>6</v>
      </c>
      <c r="D7" s="26">
        <f t="shared" ref="D7" si="21">D35+D21</f>
        <v>3</v>
      </c>
      <c r="E7" s="26">
        <f t="shared" ref="E7" si="22">E35+E21</f>
        <v>3</v>
      </c>
      <c r="F7" s="26">
        <f t="shared" si="0"/>
        <v>3</v>
      </c>
      <c r="G7" s="26">
        <f t="shared" ref="G7:I7" si="23">G35+G21</f>
        <v>6</v>
      </c>
      <c r="H7" s="30">
        <f t="shared" si="23"/>
        <v>7</v>
      </c>
      <c r="I7" s="30">
        <f t="shared" si="23"/>
        <v>3</v>
      </c>
      <c r="J7" s="28">
        <f t="shared" si="1"/>
        <v>21</v>
      </c>
      <c r="K7" s="31">
        <f t="shared" si="7"/>
        <v>13</v>
      </c>
      <c r="L7" s="40">
        <v>22</v>
      </c>
      <c r="M7" s="41">
        <v>14</v>
      </c>
      <c r="N7">
        <f t="shared" si="8"/>
        <v>1</v>
      </c>
      <c r="O7">
        <f t="shared" si="8"/>
        <v>1</v>
      </c>
    </row>
    <row r="8" spans="1:16">
      <c r="A8" s="4" t="s">
        <v>16</v>
      </c>
      <c r="B8" s="26">
        <f t="shared" ref="B8" si="24">B36+B22</f>
        <v>5</v>
      </c>
      <c r="C8" s="26">
        <f t="shared" ref="C8" si="25">C36+C22</f>
        <v>5</v>
      </c>
      <c r="D8" s="26">
        <f t="shared" ref="D8" si="26">D36+D22</f>
        <v>4</v>
      </c>
      <c r="E8" s="26">
        <f t="shared" ref="E8" si="27">E36+E22</f>
        <v>6</v>
      </c>
      <c r="F8" s="26">
        <f t="shared" si="0"/>
        <v>4</v>
      </c>
      <c r="G8" s="26">
        <f t="shared" ref="G8:I8" si="28">G36+G22</f>
        <v>0</v>
      </c>
      <c r="H8" s="30">
        <f t="shared" si="28"/>
        <v>3</v>
      </c>
      <c r="I8" s="30">
        <f t="shared" si="28"/>
        <v>3</v>
      </c>
      <c r="J8" s="28">
        <f t="shared" si="1"/>
        <v>17</v>
      </c>
      <c r="K8" s="31">
        <f t="shared" si="7"/>
        <v>13</v>
      </c>
      <c r="L8" s="42">
        <v>17</v>
      </c>
      <c r="M8" s="43">
        <v>14</v>
      </c>
      <c r="N8">
        <f t="shared" si="8"/>
        <v>0</v>
      </c>
      <c r="O8">
        <f t="shared" si="8"/>
        <v>1</v>
      </c>
    </row>
    <row r="9" spans="1:16">
      <c r="A9" s="4" t="s">
        <v>26</v>
      </c>
      <c r="B9" s="26">
        <f t="shared" ref="B9" si="29">B37+B23</f>
        <v>5</v>
      </c>
      <c r="C9" s="26">
        <f t="shared" ref="C9" si="30">C37+C23</f>
        <v>3</v>
      </c>
      <c r="D9" s="26">
        <f t="shared" ref="D9" si="31">D37+D23</f>
        <v>4</v>
      </c>
      <c r="E9" s="26">
        <f t="shared" ref="E9" si="32">E37+E23</f>
        <v>2</v>
      </c>
      <c r="F9" s="26">
        <f t="shared" si="0"/>
        <v>4</v>
      </c>
      <c r="G9" s="26">
        <f t="shared" ref="G9:I9" si="33">G37+G23</f>
        <v>5</v>
      </c>
      <c r="H9" s="30">
        <f t="shared" si="33"/>
        <v>4</v>
      </c>
      <c r="I9" s="30">
        <f t="shared" si="33"/>
        <v>3</v>
      </c>
      <c r="J9" s="28">
        <f t="shared" si="1"/>
        <v>20</v>
      </c>
      <c r="K9" s="31">
        <f t="shared" si="7"/>
        <v>10</v>
      </c>
      <c r="L9" s="44">
        <v>20</v>
      </c>
      <c r="M9" s="45">
        <v>10</v>
      </c>
      <c r="N9">
        <f t="shared" si="8"/>
        <v>0</v>
      </c>
      <c r="O9">
        <f t="shared" si="8"/>
        <v>0</v>
      </c>
    </row>
    <row r="10" spans="1:16">
      <c r="A10" s="4" t="s">
        <v>22</v>
      </c>
      <c r="B10" s="26">
        <f t="shared" ref="B10" si="34">B38+B24</f>
        <v>2</v>
      </c>
      <c r="C10" s="26">
        <f t="shared" ref="C10" si="35">C38+C24</f>
        <v>3</v>
      </c>
      <c r="D10" s="26">
        <f t="shared" ref="D10" si="36">D38+D24</f>
        <v>2</v>
      </c>
      <c r="E10" s="26">
        <f t="shared" ref="E10" si="37">E38+E24</f>
        <v>5</v>
      </c>
      <c r="F10" s="26">
        <f t="shared" si="0"/>
        <v>2</v>
      </c>
      <c r="G10" s="26">
        <f t="shared" ref="G10:I10" si="38">G38+G24</f>
        <v>2</v>
      </c>
      <c r="H10" s="30">
        <f t="shared" si="38"/>
        <v>2</v>
      </c>
      <c r="I10" s="30">
        <f t="shared" si="38"/>
        <v>2</v>
      </c>
      <c r="J10" s="28">
        <f t="shared" si="1"/>
        <v>11</v>
      </c>
      <c r="K10" s="31">
        <f>E10+F10+H10</f>
        <v>9</v>
      </c>
      <c r="L10" s="46">
        <v>14</v>
      </c>
      <c r="M10" s="47">
        <v>10</v>
      </c>
      <c r="N10">
        <f t="shared" si="8"/>
        <v>3</v>
      </c>
      <c r="O10">
        <f t="shared" si="8"/>
        <v>1</v>
      </c>
      <c r="P10" t="s">
        <v>169</v>
      </c>
    </row>
    <row r="11" spans="1:16">
      <c r="A11" s="4" t="s">
        <v>19</v>
      </c>
      <c r="B11" s="26">
        <f t="shared" ref="B11" si="39">B39+B25</f>
        <v>7</v>
      </c>
      <c r="C11" s="26">
        <f t="shared" ref="C11" si="40">C39+C25</f>
        <v>5</v>
      </c>
      <c r="D11" s="26">
        <f t="shared" ref="D11" si="41">D39+D25</f>
        <v>0</v>
      </c>
      <c r="E11" s="26">
        <f t="shared" ref="E11" si="42">E39+E25</f>
        <v>8</v>
      </c>
      <c r="F11" s="26">
        <f t="shared" si="0"/>
        <v>0</v>
      </c>
      <c r="G11" s="26">
        <f t="shared" ref="G11:I11" si="43">G39+G25</f>
        <v>4</v>
      </c>
      <c r="H11" s="30">
        <f t="shared" si="43"/>
        <v>8</v>
      </c>
      <c r="I11" s="30">
        <f t="shared" si="43"/>
        <v>3</v>
      </c>
      <c r="J11" s="28">
        <f t="shared" si="1"/>
        <v>19</v>
      </c>
      <c r="K11" s="31">
        <f t="shared" si="7"/>
        <v>16</v>
      </c>
      <c r="L11" s="48">
        <v>19</v>
      </c>
      <c r="M11" s="49">
        <v>16</v>
      </c>
      <c r="N11">
        <f t="shared" si="8"/>
        <v>0</v>
      </c>
      <c r="O11">
        <f t="shared" si="8"/>
        <v>0</v>
      </c>
    </row>
    <row r="12" spans="1:16">
      <c r="A12" s="4" t="s">
        <v>27</v>
      </c>
      <c r="B12" s="26">
        <f t="shared" ref="B12" si="44">B40+B26</f>
        <v>3.5</v>
      </c>
      <c r="C12" s="26">
        <f t="shared" ref="C12" si="45">C40+C26</f>
        <v>3</v>
      </c>
      <c r="D12" s="26">
        <f t="shared" ref="D12" si="46">D40+D26</f>
        <v>2</v>
      </c>
      <c r="E12" s="26">
        <f t="shared" ref="E12" si="47">E40+E26</f>
        <v>3</v>
      </c>
      <c r="F12" s="26">
        <f t="shared" si="0"/>
        <v>1</v>
      </c>
      <c r="G12" s="26">
        <f t="shared" ref="G12:I12" si="48">G40+G26</f>
        <v>2</v>
      </c>
      <c r="H12" s="30">
        <f t="shared" si="48"/>
        <v>2</v>
      </c>
      <c r="I12" s="30">
        <f t="shared" si="48"/>
        <v>3</v>
      </c>
      <c r="J12" s="27">
        <f t="shared" si="1"/>
        <v>13.5</v>
      </c>
      <c r="K12" s="31">
        <f t="shared" si="7"/>
        <v>6</v>
      </c>
      <c r="L12" s="50">
        <v>14</v>
      </c>
      <c r="M12" s="51">
        <v>6</v>
      </c>
      <c r="N12">
        <f t="shared" si="8"/>
        <v>0.5</v>
      </c>
      <c r="O12">
        <f t="shared" si="8"/>
        <v>0</v>
      </c>
    </row>
    <row r="13" spans="1:16">
      <c r="A13" s="4" t="s">
        <v>89</v>
      </c>
      <c r="B13" s="26">
        <f t="shared" ref="B13" si="49">B41+B27</f>
        <v>5</v>
      </c>
      <c r="C13" s="26">
        <f t="shared" ref="C13" si="50">C41+C27</f>
        <v>6</v>
      </c>
      <c r="D13" s="26">
        <f t="shared" ref="D13" si="51">D41+D27</f>
        <v>4</v>
      </c>
      <c r="E13" s="26">
        <f t="shared" ref="E13" si="52">E41+E27</f>
        <v>4</v>
      </c>
      <c r="F13" s="26">
        <f t="shared" si="0"/>
        <v>4</v>
      </c>
      <c r="G13" s="26">
        <f t="shared" ref="G13:I13" si="53">G41+G27</f>
        <v>7</v>
      </c>
      <c r="H13" s="30">
        <f t="shared" si="53"/>
        <v>6</v>
      </c>
      <c r="I13" s="30">
        <f t="shared" si="53"/>
        <v>5</v>
      </c>
      <c r="J13" s="28">
        <f>I13+G13+D13+C13+B13</f>
        <v>27</v>
      </c>
      <c r="K13" s="31">
        <f t="shared" si="7"/>
        <v>14</v>
      </c>
      <c r="L13" s="52">
        <v>28</v>
      </c>
      <c r="M13" s="53">
        <v>14</v>
      </c>
      <c r="N13">
        <f t="shared" si="8"/>
        <v>1</v>
      </c>
      <c r="O13">
        <f t="shared" si="8"/>
        <v>0</v>
      </c>
    </row>
    <row r="14" spans="1:16">
      <c r="B14" s="54"/>
      <c r="C14" s="54"/>
      <c r="D14" s="54"/>
      <c r="E14" s="54"/>
      <c r="F14" s="54"/>
      <c r="G14" s="54"/>
      <c r="H14" s="54"/>
      <c r="I14" s="54"/>
      <c r="J14" s="55"/>
      <c r="K14" s="55"/>
      <c r="L14" s="52"/>
      <c r="M14" s="53"/>
    </row>
    <row r="15" spans="1:16">
      <c r="A15" s="22" t="s">
        <v>91</v>
      </c>
    </row>
    <row r="16" spans="1:16">
      <c r="A16" s="13" t="s">
        <v>73</v>
      </c>
      <c r="B16" s="14" t="s">
        <v>74</v>
      </c>
      <c r="C16" s="14" t="s">
        <v>2</v>
      </c>
      <c r="D16" s="14" t="s">
        <v>166</v>
      </c>
      <c r="E16" s="14" t="s">
        <v>76</v>
      </c>
      <c r="F16" s="14" t="s">
        <v>167</v>
      </c>
      <c r="G16" s="14" t="s">
        <v>3</v>
      </c>
      <c r="H16" s="14" t="s">
        <v>78</v>
      </c>
      <c r="I16" s="14" t="s">
        <v>79</v>
      </c>
      <c r="J16" s="15" t="s">
        <v>80</v>
      </c>
      <c r="K16" s="15" t="s">
        <v>81</v>
      </c>
      <c r="M16" s="14" t="s">
        <v>170</v>
      </c>
      <c r="N16" s="14" t="s">
        <v>171</v>
      </c>
    </row>
    <row r="17" spans="1:14">
      <c r="A17" t="s">
        <v>127</v>
      </c>
      <c r="B17" s="26">
        <v>4</v>
      </c>
      <c r="C17" s="26">
        <v>3</v>
      </c>
      <c r="D17" s="26">
        <v>2</v>
      </c>
      <c r="E17" s="26">
        <v>3</v>
      </c>
      <c r="F17" s="26">
        <v>2</v>
      </c>
      <c r="G17" s="26">
        <v>2</v>
      </c>
      <c r="H17" s="26">
        <v>3</v>
      </c>
      <c r="I17" s="26">
        <v>4</v>
      </c>
      <c r="J17" s="27">
        <f>I17+G17+D17+C17+B17</f>
        <v>15</v>
      </c>
      <c r="K17" s="21">
        <f>E17+F17+H17</f>
        <v>8</v>
      </c>
      <c r="M17">
        <v>0</v>
      </c>
      <c r="N17">
        <v>0</v>
      </c>
    </row>
    <row r="18" spans="1:14">
      <c r="A18" t="s">
        <v>17</v>
      </c>
      <c r="B18" s="26">
        <v>3</v>
      </c>
      <c r="C18" s="26">
        <v>2</v>
      </c>
      <c r="D18" s="26">
        <v>2</v>
      </c>
      <c r="E18" s="26">
        <v>5</v>
      </c>
      <c r="F18" s="26">
        <v>2</v>
      </c>
      <c r="G18" s="26">
        <v>3</v>
      </c>
      <c r="H18" s="26">
        <v>0</v>
      </c>
      <c r="I18" s="26">
        <v>3</v>
      </c>
      <c r="J18" s="27">
        <f t="shared" ref="J18:J26" si="54">I18+G18+D18+C18+B18</f>
        <v>13</v>
      </c>
      <c r="K18" s="21">
        <f t="shared" ref="K18:K27" si="55">E18+F18+H18</f>
        <v>7</v>
      </c>
      <c r="M18">
        <v>0</v>
      </c>
      <c r="N18">
        <v>0</v>
      </c>
    </row>
    <row r="19" spans="1:14">
      <c r="A19" t="s">
        <v>20</v>
      </c>
      <c r="B19" s="26">
        <v>2</v>
      </c>
      <c r="C19" s="26">
        <v>2</v>
      </c>
      <c r="D19" s="26">
        <v>5</v>
      </c>
      <c r="E19" s="26">
        <v>2</v>
      </c>
      <c r="F19" s="26">
        <v>4</v>
      </c>
      <c r="G19" s="26">
        <v>2</v>
      </c>
      <c r="H19" s="26">
        <v>2</v>
      </c>
      <c r="I19" s="26">
        <v>2</v>
      </c>
      <c r="J19" s="27">
        <f t="shared" si="54"/>
        <v>13</v>
      </c>
      <c r="K19" s="21">
        <f t="shared" si="55"/>
        <v>8</v>
      </c>
      <c r="M19">
        <v>0</v>
      </c>
      <c r="N19">
        <v>0</v>
      </c>
    </row>
    <row r="20" spans="1:14">
      <c r="A20" t="s">
        <v>14</v>
      </c>
      <c r="B20" s="26">
        <v>3</v>
      </c>
      <c r="C20" s="26">
        <v>2</v>
      </c>
      <c r="D20" s="26">
        <v>2</v>
      </c>
      <c r="E20" s="26">
        <v>1</v>
      </c>
      <c r="F20" s="26">
        <v>2</v>
      </c>
      <c r="G20" s="26">
        <v>4</v>
      </c>
      <c r="H20" s="26">
        <v>4</v>
      </c>
      <c r="I20" s="26">
        <v>4</v>
      </c>
      <c r="J20" s="27">
        <f t="shared" si="54"/>
        <v>15</v>
      </c>
      <c r="K20" s="21">
        <f t="shared" si="55"/>
        <v>7</v>
      </c>
      <c r="M20">
        <v>0</v>
      </c>
      <c r="N20">
        <v>0</v>
      </c>
    </row>
    <row r="21" spans="1:14">
      <c r="A21" t="s">
        <v>18</v>
      </c>
      <c r="B21" s="26">
        <v>1</v>
      </c>
      <c r="C21" s="26">
        <v>5</v>
      </c>
      <c r="D21" s="26">
        <v>1</v>
      </c>
      <c r="E21" s="26">
        <v>2</v>
      </c>
      <c r="F21" s="26">
        <v>1</v>
      </c>
      <c r="G21" s="26">
        <v>1</v>
      </c>
      <c r="H21" s="26">
        <v>3</v>
      </c>
      <c r="I21" s="26">
        <v>1</v>
      </c>
      <c r="J21" s="27">
        <f t="shared" si="54"/>
        <v>9</v>
      </c>
      <c r="K21" s="21">
        <f t="shared" si="55"/>
        <v>6</v>
      </c>
      <c r="M21">
        <v>1</v>
      </c>
      <c r="N21">
        <v>1</v>
      </c>
    </row>
    <row r="22" spans="1:14">
      <c r="A22" t="s">
        <v>16</v>
      </c>
      <c r="B22" s="26">
        <v>2</v>
      </c>
      <c r="C22" s="26">
        <v>4</v>
      </c>
      <c r="D22" s="26">
        <v>2</v>
      </c>
      <c r="E22" s="26">
        <v>4</v>
      </c>
      <c r="F22" s="26">
        <v>2</v>
      </c>
      <c r="G22" s="26">
        <v>0</v>
      </c>
      <c r="H22" s="26">
        <v>1</v>
      </c>
      <c r="I22" s="26">
        <v>2</v>
      </c>
      <c r="J22" s="27">
        <f t="shared" si="54"/>
        <v>10</v>
      </c>
      <c r="K22" s="21">
        <f t="shared" si="55"/>
        <v>7</v>
      </c>
      <c r="M22">
        <v>0</v>
      </c>
      <c r="N22">
        <v>0</v>
      </c>
    </row>
    <row r="23" spans="1:14">
      <c r="A23" t="s">
        <v>26</v>
      </c>
      <c r="B23" s="26">
        <v>3</v>
      </c>
      <c r="C23" s="26">
        <v>2</v>
      </c>
      <c r="D23" s="26">
        <v>2</v>
      </c>
      <c r="E23" s="26">
        <v>2</v>
      </c>
      <c r="F23" s="26">
        <v>2</v>
      </c>
      <c r="G23" s="26">
        <v>5</v>
      </c>
      <c r="H23" s="26">
        <v>3</v>
      </c>
      <c r="I23" s="26">
        <v>2</v>
      </c>
      <c r="J23" s="27">
        <f t="shared" si="54"/>
        <v>14</v>
      </c>
      <c r="K23" s="21">
        <f t="shared" si="55"/>
        <v>7</v>
      </c>
      <c r="M23">
        <v>0</v>
      </c>
      <c r="N23">
        <v>0</v>
      </c>
    </row>
    <row r="24" spans="1:14">
      <c r="A24" t="s">
        <v>22</v>
      </c>
      <c r="B24" s="26">
        <v>1</v>
      </c>
      <c r="C24" s="26">
        <v>1</v>
      </c>
      <c r="D24" s="26">
        <v>2</v>
      </c>
      <c r="E24" s="26">
        <v>2</v>
      </c>
      <c r="F24" s="26">
        <v>1</v>
      </c>
      <c r="G24" s="26">
        <v>1</v>
      </c>
      <c r="H24" s="26">
        <v>1</v>
      </c>
      <c r="I24" s="26">
        <v>2</v>
      </c>
      <c r="J24" s="27">
        <f t="shared" si="54"/>
        <v>7</v>
      </c>
      <c r="K24" s="21">
        <f t="shared" si="55"/>
        <v>4</v>
      </c>
      <c r="M24">
        <v>2</v>
      </c>
      <c r="N24">
        <v>1</v>
      </c>
    </row>
    <row r="25" spans="1:14">
      <c r="A25" t="s">
        <v>19</v>
      </c>
      <c r="B25" s="26">
        <v>4</v>
      </c>
      <c r="C25" s="26">
        <v>2</v>
      </c>
      <c r="D25" s="26">
        <v>0</v>
      </c>
      <c r="E25" s="26">
        <v>2</v>
      </c>
      <c r="F25" s="26">
        <v>0</v>
      </c>
      <c r="G25" s="26">
        <v>3</v>
      </c>
      <c r="H25" s="26">
        <v>5</v>
      </c>
      <c r="I25" s="26">
        <v>1</v>
      </c>
      <c r="J25" s="27">
        <f t="shared" si="54"/>
        <v>10</v>
      </c>
      <c r="K25" s="21">
        <f t="shared" si="55"/>
        <v>7</v>
      </c>
      <c r="M25">
        <v>0</v>
      </c>
      <c r="N25">
        <v>0</v>
      </c>
    </row>
    <row r="26" spans="1:14">
      <c r="A26" t="s">
        <v>27</v>
      </c>
      <c r="B26" s="26">
        <v>1.5</v>
      </c>
      <c r="C26" s="26">
        <v>1</v>
      </c>
      <c r="D26" s="26">
        <v>2</v>
      </c>
      <c r="E26" s="26">
        <v>0</v>
      </c>
      <c r="F26" s="26">
        <v>1</v>
      </c>
      <c r="G26" s="26">
        <v>1</v>
      </c>
      <c r="H26" s="26">
        <v>1</v>
      </c>
      <c r="I26" s="26">
        <v>1</v>
      </c>
      <c r="J26" s="27">
        <f t="shared" si="54"/>
        <v>6.5</v>
      </c>
      <c r="K26" s="21">
        <f t="shared" si="55"/>
        <v>2</v>
      </c>
      <c r="M26">
        <v>1</v>
      </c>
      <c r="N26">
        <v>0</v>
      </c>
    </row>
    <row r="27" spans="1:14">
      <c r="A27" t="s">
        <v>89</v>
      </c>
      <c r="B27" s="26">
        <v>2</v>
      </c>
      <c r="C27" s="26">
        <v>3</v>
      </c>
      <c r="D27" s="26">
        <v>2</v>
      </c>
      <c r="E27" s="26">
        <v>3</v>
      </c>
      <c r="F27" s="26">
        <v>2</v>
      </c>
      <c r="G27" s="26">
        <v>5</v>
      </c>
      <c r="H27" s="26">
        <v>3</v>
      </c>
      <c r="I27" s="26">
        <v>1</v>
      </c>
      <c r="J27" s="27">
        <f>I27+G27+D27+C27+B27</f>
        <v>13</v>
      </c>
      <c r="K27" s="21">
        <f t="shared" si="55"/>
        <v>8</v>
      </c>
      <c r="M27">
        <v>0</v>
      </c>
      <c r="N27">
        <v>0</v>
      </c>
    </row>
    <row r="29" spans="1:14">
      <c r="A29" s="22" t="s">
        <v>93</v>
      </c>
    </row>
    <row r="30" spans="1:14">
      <c r="A30" s="23" t="s">
        <v>73</v>
      </c>
      <c r="B30" s="24" t="s">
        <v>74</v>
      </c>
      <c r="C30" s="24" t="s">
        <v>2</v>
      </c>
      <c r="D30" s="24" t="s">
        <v>166</v>
      </c>
      <c r="E30" s="24" t="s">
        <v>76</v>
      </c>
      <c r="F30" s="24" t="s">
        <v>167</v>
      </c>
      <c r="G30" s="24" t="s">
        <v>3</v>
      </c>
      <c r="H30" s="24" t="s">
        <v>78</v>
      </c>
      <c r="I30" s="24" t="s">
        <v>79</v>
      </c>
      <c r="J30" s="25" t="s">
        <v>80</v>
      </c>
      <c r="K30" s="15" t="s">
        <v>81</v>
      </c>
    </row>
    <row r="31" spans="1:14">
      <c r="A31" s="4" t="s">
        <v>127</v>
      </c>
      <c r="B31" s="26">
        <v>2</v>
      </c>
      <c r="C31" s="26">
        <v>2</v>
      </c>
      <c r="D31" s="26">
        <v>2</v>
      </c>
      <c r="E31" s="26">
        <v>2</v>
      </c>
      <c r="F31" s="26">
        <v>2</v>
      </c>
      <c r="G31" s="26">
        <v>4</v>
      </c>
      <c r="H31" s="26">
        <v>3</v>
      </c>
      <c r="I31" s="26">
        <v>1</v>
      </c>
      <c r="J31" s="27">
        <f>I31+G31+D31+C31+B31</f>
        <v>11</v>
      </c>
      <c r="K31" s="21">
        <f>E31+F31+H31</f>
        <v>7</v>
      </c>
    </row>
    <row r="32" spans="1:14">
      <c r="A32" s="4" t="s">
        <v>17</v>
      </c>
      <c r="B32" s="26">
        <v>2</v>
      </c>
      <c r="C32" s="26">
        <v>4</v>
      </c>
      <c r="D32" s="26">
        <v>2</v>
      </c>
      <c r="E32" s="26">
        <v>2</v>
      </c>
      <c r="F32" s="26">
        <v>2</v>
      </c>
      <c r="G32" s="26">
        <v>2</v>
      </c>
      <c r="H32" s="26">
        <v>2</v>
      </c>
      <c r="I32" s="26">
        <v>1</v>
      </c>
      <c r="J32" s="27">
        <f t="shared" ref="J32:J41" si="56">I32+G32+D32+C32+B32</f>
        <v>11</v>
      </c>
      <c r="K32" s="21">
        <f>E32+F32+H32</f>
        <v>6</v>
      </c>
    </row>
    <row r="33" spans="1:11">
      <c r="A33" s="4" t="s">
        <v>20</v>
      </c>
      <c r="B33" s="26">
        <v>4</v>
      </c>
      <c r="C33" s="26">
        <v>3</v>
      </c>
      <c r="D33" s="26">
        <v>0</v>
      </c>
      <c r="E33" s="26">
        <v>3</v>
      </c>
      <c r="F33" s="26">
        <v>0</v>
      </c>
      <c r="G33" s="26">
        <v>5</v>
      </c>
      <c r="H33" s="26">
        <v>3</v>
      </c>
      <c r="I33" s="26">
        <v>2.5</v>
      </c>
      <c r="J33" s="27">
        <f t="shared" si="56"/>
        <v>14.5</v>
      </c>
      <c r="K33" s="21">
        <f>E33+F33+H33</f>
        <v>6</v>
      </c>
    </row>
    <row r="34" spans="1:11">
      <c r="A34" s="4" t="s">
        <v>14</v>
      </c>
      <c r="B34" s="26">
        <v>2</v>
      </c>
      <c r="C34" s="26">
        <v>4</v>
      </c>
      <c r="D34" s="26">
        <v>2</v>
      </c>
      <c r="E34" s="26">
        <v>3</v>
      </c>
      <c r="F34" s="26">
        <v>2</v>
      </c>
      <c r="G34" s="26">
        <v>3</v>
      </c>
      <c r="H34" s="26">
        <v>2</v>
      </c>
      <c r="I34" s="26">
        <v>1</v>
      </c>
      <c r="J34" s="27">
        <f t="shared" si="56"/>
        <v>12</v>
      </c>
      <c r="K34" s="21">
        <f>E34+F34+H34</f>
        <v>7</v>
      </c>
    </row>
    <row r="35" spans="1:11">
      <c r="A35" s="4" t="s">
        <v>18</v>
      </c>
      <c r="B35" s="26">
        <v>2</v>
      </c>
      <c r="C35" s="26">
        <v>1</v>
      </c>
      <c r="D35" s="26">
        <v>2</v>
      </c>
      <c r="E35" s="26">
        <v>1</v>
      </c>
      <c r="F35" s="26">
        <v>2</v>
      </c>
      <c r="G35" s="26">
        <v>5</v>
      </c>
      <c r="H35" s="26">
        <v>4</v>
      </c>
      <c r="I35" s="26">
        <v>2</v>
      </c>
      <c r="J35" s="27">
        <f t="shared" si="56"/>
        <v>12</v>
      </c>
      <c r="K35" s="21">
        <f t="shared" ref="K35:K41" si="57">E35+F35+H35</f>
        <v>7</v>
      </c>
    </row>
    <row r="36" spans="1:11">
      <c r="A36" s="4" t="s">
        <v>16</v>
      </c>
      <c r="B36" s="26">
        <v>3</v>
      </c>
      <c r="C36" s="26">
        <v>1</v>
      </c>
      <c r="D36" s="26">
        <v>2</v>
      </c>
      <c r="E36" s="26">
        <v>2</v>
      </c>
      <c r="F36" s="26">
        <v>2</v>
      </c>
      <c r="G36" s="26">
        <v>0</v>
      </c>
      <c r="H36" s="26">
        <v>2</v>
      </c>
      <c r="I36" s="26">
        <v>1</v>
      </c>
      <c r="J36" s="27">
        <f t="shared" si="56"/>
        <v>7</v>
      </c>
      <c r="K36" s="21">
        <f t="shared" si="57"/>
        <v>6</v>
      </c>
    </row>
    <row r="37" spans="1:11">
      <c r="A37" s="4" t="s">
        <v>26</v>
      </c>
      <c r="B37" s="26">
        <v>2</v>
      </c>
      <c r="C37" s="26">
        <v>1</v>
      </c>
      <c r="D37" s="26">
        <v>2</v>
      </c>
      <c r="E37" s="26">
        <v>0</v>
      </c>
      <c r="F37" s="26">
        <v>2</v>
      </c>
      <c r="G37" s="26">
        <v>0</v>
      </c>
      <c r="H37" s="26">
        <v>1</v>
      </c>
      <c r="I37" s="26">
        <v>1</v>
      </c>
      <c r="J37" s="27">
        <f t="shared" si="56"/>
        <v>6</v>
      </c>
      <c r="K37" s="21">
        <f t="shared" si="57"/>
        <v>3</v>
      </c>
    </row>
    <row r="38" spans="1:11">
      <c r="A38" s="4" t="s">
        <v>22</v>
      </c>
      <c r="B38" s="26">
        <v>1</v>
      </c>
      <c r="C38" s="26">
        <v>2</v>
      </c>
      <c r="D38" s="26">
        <v>0</v>
      </c>
      <c r="E38" s="26">
        <v>3</v>
      </c>
      <c r="F38" s="26">
        <v>1</v>
      </c>
      <c r="G38" s="26">
        <v>1</v>
      </c>
      <c r="H38" s="26">
        <v>1</v>
      </c>
      <c r="I38" s="26">
        <v>0</v>
      </c>
      <c r="J38" s="27">
        <f t="shared" si="56"/>
        <v>4</v>
      </c>
      <c r="K38" s="21">
        <f t="shared" si="57"/>
        <v>5</v>
      </c>
    </row>
    <row r="39" spans="1:11">
      <c r="A39" s="4" t="s">
        <v>19</v>
      </c>
      <c r="B39" s="26">
        <v>3</v>
      </c>
      <c r="C39" s="26">
        <v>3</v>
      </c>
      <c r="D39" s="26">
        <v>0</v>
      </c>
      <c r="E39" s="26">
        <v>6</v>
      </c>
      <c r="F39" s="26">
        <v>0</v>
      </c>
      <c r="G39" s="26">
        <v>1</v>
      </c>
      <c r="H39" s="26">
        <v>3</v>
      </c>
      <c r="I39" s="26">
        <v>2</v>
      </c>
      <c r="J39" s="27">
        <f t="shared" si="56"/>
        <v>9</v>
      </c>
      <c r="K39" s="21">
        <f t="shared" si="57"/>
        <v>9</v>
      </c>
    </row>
    <row r="40" spans="1:11">
      <c r="A40" s="4" t="s">
        <v>27</v>
      </c>
      <c r="B40" s="26">
        <v>2</v>
      </c>
      <c r="C40" s="26">
        <v>2</v>
      </c>
      <c r="D40" s="26">
        <v>0</v>
      </c>
      <c r="E40" s="26">
        <v>3</v>
      </c>
      <c r="F40" s="26">
        <v>0</v>
      </c>
      <c r="G40" s="26">
        <v>1</v>
      </c>
      <c r="H40" s="26">
        <v>1</v>
      </c>
      <c r="I40" s="26">
        <v>2</v>
      </c>
      <c r="J40" s="27">
        <f t="shared" si="56"/>
        <v>7</v>
      </c>
      <c r="K40" s="21">
        <f t="shared" si="57"/>
        <v>4</v>
      </c>
    </row>
    <row r="41" spans="1:11">
      <c r="A41" s="4" t="s">
        <v>89</v>
      </c>
      <c r="B41" s="26">
        <v>3</v>
      </c>
      <c r="C41" s="26">
        <v>3</v>
      </c>
      <c r="D41" s="26">
        <v>2</v>
      </c>
      <c r="E41" s="26">
        <v>1</v>
      </c>
      <c r="F41" s="26">
        <v>2</v>
      </c>
      <c r="G41" s="26">
        <v>2</v>
      </c>
      <c r="H41" s="26">
        <v>3</v>
      </c>
      <c r="I41" s="26">
        <v>4</v>
      </c>
      <c r="J41" s="27">
        <f t="shared" si="56"/>
        <v>14</v>
      </c>
      <c r="K41" s="21">
        <f t="shared" si="57"/>
        <v>6</v>
      </c>
    </row>
    <row r="42" spans="1:11">
      <c r="E42">
        <f>SUM(E31:E41)</f>
        <v>26</v>
      </c>
      <c r="H42">
        <f>SUM(H31:H41)</f>
        <v>25</v>
      </c>
      <c r="J42" s="29">
        <f>SUM(J31:J41)</f>
        <v>107.5</v>
      </c>
      <c r="K42" s="29">
        <f>SUM(K31:K41)</f>
        <v>66</v>
      </c>
    </row>
    <row r="45" spans="1:11">
      <c r="B45" t="s">
        <v>172</v>
      </c>
      <c r="C45" t="s">
        <v>173</v>
      </c>
      <c r="D45" s="141"/>
      <c r="E45" s="142"/>
      <c r="F45" t="s">
        <v>174</v>
      </c>
      <c r="G45" t="s">
        <v>175</v>
      </c>
    </row>
    <row r="46" spans="1:11">
      <c r="A46" s="4" t="s">
        <v>17</v>
      </c>
      <c r="B46">
        <v>11</v>
      </c>
      <c r="C46">
        <v>7</v>
      </c>
      <c r="D46" s="34">
        <v>25</v>
      </c>
      <c r="E46" s="35">
        <v>14</v>
      </c>
      <c r="F46">
        <f>B46/D46</f>
        <v>0.44</v>
      </c>
      <c r="G46" s="143">
        <f>C46/E46</f>
        <v>0.5</v>
      </c>
    </row>
    <row r="47" spans="1:11">
      <c r="A47" s="4" t="s">
        <v>20</v>
      </c>
      <c r="B47">
        <v>11</v>
      </c>
      <c r="C47">
        <v>5</v>
      </c>
      <c r="D47" s="36">
        <v>28</v>
      </c>
      <c r="E47" s="37">
        <v>14</v>
      </c>
      <c r="F47" s="143">
        <f t="shared" ref="F47:F54" si="58">B47/D47</f>
        <v>0.39285714285714285</v>
      </c>
      <c r="G47" s="143">
        <f>C47/E47</f>
        <v>0.35714285714285715</v>
      </c>
    </row>
    <row r="48" spans="1:11">
      <c r="A48" s="4" t="s">
        <v>14</v>
      </c>
      <c r="B48">
        <v>11</v>
      </c>
      <c r="C48">
        <v>4</v>
      </c>
      <c r="D48" s="38">
        <v>28</v>
      </c>
      <c r="E48" s="39">
        <v>14</v>
      </c>
      <c r="F48" s="143">
        <f t="shared" si="58"/>
        <v>0.39285714285714285</v>
      </c>
      <c r="G48" s="143">
        <f t="shared" ref="G48:G55" si="59">C48/E48</f>
        <v>0.2857142857142857</v>
      </c>
    </row>
    <row r="49" spans="1:8">
      <c r="A49" s="135" t="s">
        <v>18</v>
      </c>
      <c r="B49" s="102">
        <v>9</v>
      </c>
      <c r="C49" s="102">
        <v>3</v>
      </c>
      <c r="D49" s="144">
        <v>22</v>
      </c>
      <c r="E49" s="145">
        <v>14</v>
      </c>
      <c r="F49" s="146">
        <f t="shared" si="58"/>
        <v>0.40909090909090912</v>
      </c>
      <c r="G49" s="146">
        <f t="shared" si="59"/>
        <v>0.21428571428571427</v>
      </c>
    </row>
    <row r="50" spans="1:8">
      <c r="A50" s="4" t="s">
        <v>16</v>
      </c>
      <c r="B50">
        <v>10</v>
      </c>
      <c r="C50">
        <v>6</v>
      </c>
      <c r="D50" s="42">
        <v>17</v>
      </c>
      <c r="E50" s="43">
        <v>14</v>
      </c>
      <c r="F50" s="143">
        <f t="shared" si="58"/>
        <v>0.58823529411764708</v>
      </c>
      <c r="G50" s="143">
        <f t="shared" si="59"/>
        <v>0.42857142857142855</v>
      </c>
    </row>
    <row r="51" spans="1:8">
      <c r="A51" s="135" t="s">
        <v>26</v>
      </c>
      <c r="B51" s="102">
        <v>8</v>
      </c>
      <c r="C51" s="102">
        <v>2</v>
      </c>
      <c r="D51" s="147">
        <v>20</v>
      </c>
      <c r="E51" s="148">
        <v>10</v>
      </c>
      <c r="F51" s="146">
        <f t="shared" si="58"/>
        <v>0.4</v>
      </c>
      <c r="G51" s="146">
        <f t="shared" si="59"/>
        <v>0.2</v>
      </c>
    </row>
    <row r="52" spans="1:8">
      <c r="A52" s="4" t="s">
        <v>22</v>
      </c>
      <c r="B52">
        <v>5</v>
      </c>
      <c r="C52">
        <v>5</v>
      </c>
      <c r="D52" s="46">
        <v>14</v>
      </c>
      <c r="E52" s="47">
        <v>10</v>
      </c>
      <c r="F52" s="143">
        <f t="shared" si="58"/>
        <v>0.35714285714285715</v>
      </c>
      <c r="G52" s="143">
        <f t="shared" si="59"/>
        <v>0.5</v>
      </c>
    </row>
    <row r="53" spans="1:8">
      <c r="A53" s="151" t="s">
        <v>19</v>
      </c>
      <c r="B53" s="152">
        <v>12</v>
      </c>
      <c r="C53" s="152">
        <v>8</v>
      </c>
      <c r="D53" s="153">
        <v>19</v>
      </c>
      <c r="E53" s="154">
        <v>16</v>
      </c>
      <c r="F53" s="155">
        <f t="shared" si="58"/>
        <v>0.63157894736842102</v>
      </c>
      <c r="G53" s="155">
        <f t="shared" si="59"/>
        <v>0.5</v>
      </c>
      <c r="H53" s="152"/>
    </row>
    <row r="54" spans="1:8">
      <c r="A54" s="135" t="s">
        <v>27</v>
      </c>
      <c r="B54" s="102">
        <v>6.5</v>
      </c>
      <c r="C54" s="102">
        <v>3</v>
      </c>
      <c r="D54" s="149">
        <v>14</v>
      </c>
      <c r="E54" s="150">
        <v>6</v>
      </c>
      <c r="F54" s="146">
        <f t="shared" si="58"/>
        <v>0.4642857142857143</v>
      </c>
      <c r="G54" s="146">
        <f t="shared" si="59"/>
        <v>0.5</v>
      </c>
    </row>
    <row r="55" spans="1:8">
      <c r="A55" s="4" t="s">
        <v>89</v>
      </c>
      <c r="B55">
        <v>11</v>
      </c>
      <c r="C55">
        <v>4</v>
      </c>
      <c r="D55" s="52">
        <v>28</v>
      </c>
      <c r="E55" s="53">
        <v>14</v>
      </c>
      <c r="F55" s="143">
        <f>B55/D55</f>
        <v>0.39285714285714285</v>
      </c>
      <c r="G55" s="143">
        <f t="shared" si="59"/>
        <v>0.2857142857142857</v>
      </c>
    </row>
    <row r="57" spans="1:8">
      <c r="A57" t="s">
        <v>176</v>
      </c>
    </row>
    <row r="58" spans="1:8">
      <c r="A58" t="s">
        <v>177</v>
      </c>
    </row>
    <row r="59" spans="1:8">
      <c r="B59" t="s">
        <v>178</v>
      </c>
    </row>
    <row r="60" spans="1:8">
      <c r="A60" t="s">
        <v>179</v>
      </c>
      <c r="B60">
        <f>4.5*11*5*11</f>
        <v>2722.5</v>
      </c>
      <c r="C60">
        <f>4.5*11*4</f>
        <v>198</v>
      </c>
      <c r="D60">
        <f>B60+C60</f>
        <v>2920.5</v>
      </c>
      <c r="E60" t="s">
        <v>180</v>
      </c>
    </row>
    <row r="61" spans="1:8">
      <c r="B61">
        <f>4.5*10*5*17</f>
        <v>3825</v>
      </c>
      <c r="C61">
        <f>4.5*10*10</f>
        <v>450</v>
      </c>
      <c r="D61">
        <f>B61+C61</f>
        <v>4275</v>
      </c>
      <c r="E61" t="s">
        <v>181</v>
      </c>
    </row>
    <row r="62" spans="1:8">
      <c r="A62">
        <f>4.5*10*5*2</f>
        <v>450</v>
      </c>
    </row>
  </sheetData>
  <pageMargins left="0.7" right="0.7" top="0.75" bottom="0.75" header="0.3" footer="0.3"/>
  <pageSetup orientation="portrait" horizontalDpi="300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E0EB2-06DE-48FE-B177-4E5065E6E6ED}">
  <dimension ref="A1:E56"/>
  <sheetViews>
    <sheetView workbookViewId="0">
      <selection activeCell="B7" sqref="B7"/>
    </sheetView>
  </sheetViews>
  <sheetFormatPr defaultRowHeight="15"/>
  <cols>
    <col min="1" max="1" width="23.140625" customWidth="1"/>
    <col min="2" max="2" width="67.5703125" customWidth="1"/>
    <col min="3" max="3" width="18.28515625" bestFit="1" customWidth="1"/>
    <col min="4" max="4" width="21.7109375" bestFit="1" customWidth="1"/>
  </cols>
  <sheetData>
    <row r="1" spans="1:5" ht="15.75" thickBot="1">
      <c r="A1" s="71" t="s">
        <v>182</v>
      </c>
      <c r="B1" s="70" t="s">
        <v>183</v>
      </c>
      <c r="C1" s="69" t="s">
        <v>184</v>
      </c>
      <c r="D1" s="68" t="s">
        <v>185</v>
      </c>
    </row>
    <row r="2" spans="1:5">
      <c r="A2" s="67" t="s">
        <v>186</v>
      </c>
      <c r="B2" s="66" t="s">
        <v>187</v>
      </c>
      <c r="C2" s="65" t="s">
        <v>188</v>
      </c>
      <c r="D2" s="64" t="s">
        <v>189</v>
      </c>
      <c r="E2" t="s">
        <v>190</v>
      </c>
    </row>
    <row r="3" spans="1:5" ht="30">
      <c r="A3" s="63" t="s">
        <v>191</v>
      </c>
      <c r="B3" s="62" t="s">
        <v>192</v>
      </c>
      <c r="C3" s="61" t="s">
        <v>193</v>
      </c>
      <c r="D3" s="60"/>
    </row>
    <row r="4" spans="1:5">
      <c r="A4" s="63" t="s">
        <v>194</v>
      </c>
      <c r="B4" s="62" t="s">
        <v>195</v>
      </c>
      <c r="C4" s="61"/>
      <c r="D4" s="60" t="s">
        <v>189</v>
      </c>
    </row>
    <row r="5" spans="1:5">
      <c r="A5" s="63" t="s">
        <v>196</v>
      </c>
      <c r="B5" s="62" t="s">
        <v>197</v>
      </c>
      <c r="C5" s="61" t="s">
        <v>198</v>
      </c>
      <c r="D5" s="60"/>
      <c r="E5" s="72">
        <v>45786</v>
      </c>
    </row>
    <row r="6" spans="1:5" ht="30">
      <c r="A6" s="63" t="s">
        <v>199</v>
      </c>
      <c r="B6" s="62" t="s">
        <v>200</v>
      </c>
      <c r="C6" s="61"/>
      <c r="D6" s="60"/>
    </row>
    <row r="7" spans="1:5">
      <c r="A7" s="63" t="s">
        <v>201</v>
      </c>
      <c r="B7" s="62" t="s">
        <v>202</v>
      </c>
      <c r="C7" s="61"/>
      <c r="D7" s="60"/>
    </row>
    <row r="8" spans="1:5">
      <c r="A8" s="63"/>
      <c r="B8" s="62"/>
      <c r="C8" s="61"/>
      <c r="D8" s="60"/>
    </row>
    <row r="9" spans="1:5">
      <c r="A9" s="63"/>
      <c r="B9" s="62"/>
      <c r="C9" s="61"/>
      <c r="D9" s="60"/>
    </row>
    <row r="10" spans="1:5">
      <c r="A10" s="63"/>
      <c r="B10" s="62"/>
      <c r="C10" s="61"/>
      <c r="D10" s="60"/>
    </row>
    <row r="11" spans="1:5">
      <c r="A11" s="63"/>
      <c r="B11" s="62"/>
      <c r="C11" s="61"/>
      <c r="D11" s="60"/>
    </row>
    <row r="12" spans="1:5">
      <c r="A12" s="63"/>
      <c r="B12" s="62"/>
      <c r="C12" s="61"/>
      <c r="D12" s="60"/>
    </row>
    <row r="13" spans="1:5">
      <c r="A13" s="63"/>
      <c r="B13" s="62"/>
      <c r="C13" s="61"/>
      <c r="D13" s="60"/>
    </row>
    <row r="14" spans="1:5">
      <c r="A14" s="63"/>
      <c r="B14" s="62"/>
      <c r="C14" s="61"/>
      <c r="D14" s="60"/>
    </row>
    <row r="15" spans="1:5">
      <c r="A15" s="63"/>
      <c r="B15" s="62"/>
      <c r="C15" s="61"/>
      <c r="D15" s="60"/>
    </row>
    <row r="16" spans="1:5">
      <c r="A16" s="63"/>
      <c r="B16" s="62"/>
      <c r="C16" s="61"/>
      <c r="D16" s="60"/>
    </row>
    <row r="17" spans="1:4">
      <c r="A17" s="63"/>
      <c r="B17" s="62"/>
      <c r="C17" s="61"/>
      <c r="D17" s="60"/>
    </row>
    <row r="18" spans="1:4">
      <c r="A18" s="63"/>
      <c r="B18" s="62"/>
      <c r="C18" s="61"/>
      <c r="D18" s="60"/>
    </row>
    <row r="19" spans="1:4">
      <c r="A19" s="63"/>
      <c r="B19" s="62"/>
      <c r="C19" s="61"/>
      <c r="D19" s="60"/>
    </row>
    <row r="20" spans="1:4">
      <c r="A20" s="63"/>
      <c r="B20" s="62"/>
      <c r="C20" s="61"/>
      <c r="D20" s="60"/>
    </row>
    <row r="21" spans="1:4">
      <c r="A21" s="63"/>
      <c r="B21" s="62"/>
      <c r="C21" s="61"/>
      <c r="D21" s="60"/>
    </row>
    <row r="22" spans="1:4">
      <c r="A22" s="63"/>
      <c r="B22" s="62"/>
      <c r="C22" s="61"/>
      <c r="D22" s="60"/>
    </row>
    <row r="23" spans="1:4">
      <c r="A23" s="63"/>
      <c r="B23" s="62"/>
      <c r="C23" s="61"/>
      <c r="D23" s="60"/>
    </row>
    <row r="24" spans="1:4">
      <c r="A24" s="63"/>
      <c r="B24" s="62"/>
      <c r="C24" s="61"/>
      <c r="D24" s="60"/>
    </row>
    <row r="25" spans="1:4">
      <c r="A25" s="63"/>
      <c r="B25" s="62"/>
      <c r="C25" s="61"/>
      <c r="D25" s="60"/>
    </row>
    <row r="26" spans="1:4">
      <c r="A26" s="63"/>
      <c r="B26" s="62"/>
      <c r="C26" s="61"/>
      <c r="D26" s="60"/>
    </row>
    <row r="27" spans="1:4">
      <c r="A27" s="63"/>
      <c r="B27" s="62"/>
      <c r="C27" s="61"/>
      <c r="D27" s="60"/>
    </row>
    <row r="28" spans="1:4">
      <c r="A28" s="63"/>
      <c r="B28" s="62"/>
      <c r="C28" s="61"/>
      <c r="D28" s="60"/>
    </row>
    <row r="29" spans="1:4">
      <c r="A29" s="63"/>
      <c r="B29" s="62"/>
      <c r="C29" s="61"/>
      <c r="D29" s="60"/>
    </row>
    <row r="30" spans="1:4">
      <c r="A30" s="63"/>
      <c r="B30" s="62"/>
      <c r="C30" s="61"/>
      <c r="D30" s="60"/>
    </row>
    <row r="31" spans="1:4">
      <c r="A31" s="63"/>
      <c r="B31" s="62"/>
      <c r="C31" s="61"/>
      <c r="D31" s="60"/>
    </row>
    <row r="32" spans="1:4">
      <c r="A32" s="63"/>
      <c r="B32" s="62"/>
      <c r="C32" s="61"/>
      <c r="D32" s="60"/>
    </row>
    <row r="33" spans="1:4">
      <c r="A33" s="63"/>
      <c r="B33" s="62"/>
      <c r="C33" s="61"/>
      <c r="D33" s="60"/>
    </row>
    <row r="34" spans="1:4">
      <c r="A34" s="63"/>
      <c r="B34" s="62"/>
      <c r="C34" s="61"/>
      <c r="D34" s="60"/>
    </row>
    <row r="35" spans="1:4">
      <c r="A35" s="63"/>
      <c r="B35" s="62"/>
      <c r="C35" s="61"/>
      <c r="D35" s="60"/>
    </row>
    <row r="36" spans="1:4">
      <c r="A36" s="63"/>
      <c r="B36" s="62"/>
      <c r="C36" s="61"/>
      <c r="D36" s="60"/>
    </row>
    <row r="37" spans="1:4">
      <c r="A37" s="63"/>
      <c r="B37" s="62"/>
      <c r="C37" s="61"/>
      <c r="D37" s="60"/>
    </row>
    <row r="38" spans="1:4">
      <c r="A38" s="63"/>
      <c r="B38" s="62"/>
      <c r="C38" s="61"/>
      <c r="D38" s="60"/>
    </row>
    <row r="39" spans="1:4">
      <c r="A39" s="63"/>
      <c r="B39" s="62"/>
      <c r="C39" s="61"/>
      <c r="D39" s="60"/>
    </row>
    <row r="40" spans="1:4">
      <c r="A40" s="63"/>
      <c r="B40" s="62"/>
      <c r="C40" s="61"/>
      <c r="D40" s="60"/>
    </row>
    <row r="41" spans="1:4">
      <c r="A41" s="63"/>
      <c r="B41" s="62"/>
      <c r="C41" s="61"/>
      <c r="D41" s="60"/>
    </row>
    <row r="42" spans="1:4">
      <c r="A42" s="63"/>
      <c r="B42" s="62"/>
      <c r="C42" s="61"/>
      <c r="D42" s="60"/>
    </row>
    <row r="43" spans="1:4">
      <c r="A43" s="63"/>
      <c r="B43" s="62"/>
      <c r="C43" s="61"/>
      <c r="D43" s="60"/>
    </row>
    <row r="44" spans="1:4">
      <c r="A44" s="63"/>
      <c r="B44" s="62"/>
      <c r="C44" s="61"/>
      <c r="D44" s="60"/>
    </row>
    <row r="45" spans="1:4">
      <c r="A45" s="63"/>
      <c r="B45" s="62"/>
      <c r="C45" s="61"/>
      <c r="D45" s="60"/>
    </row>
    <row r="46" spans="1:4">
      <c r="A46" s="63"/>
      <c r="B46" s="62"/>
      <c r="C46" s="61"/>
      <c r="D46" s="60"/>
    </row>
    <row r="47" spans="1:4">
      <c r="A47" s="63"/>
      <c r="B47" s="62"/>
      <c r="C47" s="61"/>
      <c r="D47" s="60"/>
    </row>
    <row r="48" spans="1:4">
      <c r="A48" s="63"/>
      <c r="B48" s="62"/>
      <c r="C48" s="61"/>
      <c r="D48" s="60"/>
    </row>
    <row r="49" spans="1:4">
      <c r="A49" s="63"/>
      <c r="B49" s="62"/>
      <c r="C49" s="61"/>
      <c r="D49" s="60"/>
    </row>
    <row r="50" spans="1:4">
      <c r="A50" s="63"/>
      <c r="B50" s="62"/>
      <c r="C50" s="61"/>
      <c r="D50" s="60"/>
    </row>
    <row r="51" spans="1:4">
      <c r="A51" s="63"/>
      <c r="B51" s="62"/>
      <c r="C51" s="61"/>
      <c r="D51" s="60"/>
    </row>
    <row r="52" spans="1:4">
      <c r="A52" s="63"/>
      <c r="B52" s="62"/>
      <c r="C52" s="61"/>
      <c r="D52" s="60"/>
    </row>
    <row r="53" spans="1:4">
      <c r="A53" s="63"/>
      <c r="B53" s="62"/>
      <c r="C53" s="61"/>
      <c r="D53" s="60"/>
    </row>
    <row r="54" spans="1:4">
      <c r="A54" s="63"/>
      <c r="B54" s="62"/>
      <c r="C54" s="61"/>
      <c r="D54" s="60"/>
    </row>
    <row r="55" spans="1:4">
      <c r="A55" s="63"/>
      <c r="B55" s="62"/>
      <c r="C55" s="61"/>
      <c r="D55" s="60"/>
    </row>
    <row r="56" spans="1:4" ht="15.75" thickBot="1">
      <c r="A56" s="59"/>
      <c r="B56" s="58"/>
      <c r="C56" s="57"/>
      <c r="D56" s="56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6449DE472F474BB06A81D70ECC5F9A" ma:contentTypeVersion="17" ma:contentTypeDescription="Create a new document." ma:contentTypeScope="" ma:versionID="8f7c7a15713e2a74294e0566e49ea892">
  <xsd:schema xmlns:xsd="http://www.w3.org/2001/XMLSchema" xmlns:xs="http://www.w3.org/2001/XMLSchema" xmlns:p="http://schemas.microsoft.com/office/2006/metadata/properties" xmlns:ns2="495d98f4-0745-4c0d-9b1e-9087310ef4f6" xmlns:ns3="4ecd9a10-8de7-4e5f-bd0d-3574dc889bcf" targetNamespace="http://schemas.microsoft.com/office/2006/metadata/properties" ma:root="true" ma:fieldsID="f895de62ae772164c836dcd5b20da48e" ns2:_="" ns3:_="">
    <xsd:import namespace="495d98f4-0745-4c0d-9b1e-9087310ef4f6"/>
    <xsd:import namespace="4ecd9a10-8de7-4e5f-bd0d-3574dc889bc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SearchProperties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5d98f4-0745-4c0d-9b1e-9087310ef4f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16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35323e8b-22d2-4b2a-a706-8c4ce8b05ae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ecd9a10-8de7-4e5f-bd0d-3574dc889bcf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4230f901-5d24-46f1-9285-ac45e55008b6}" ma:internalName="TaxCatchAll" ma:showField="CatchAllData" ma:web="4ecd9a10-8de7-4e5f-bd0d-3574dc889bc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5d98f4-0745-4c0d-9b1e-9087310ef4f6">
      <Terms xmlns="http://schemas.microsoft.com/office/infopath/2007/PartnerControls"/>
    </lcf76f155ced4ddcb4097134ff3c332f>
    <TaxCatchAll xmlns="4ecd9a10-8de7-4e5f-bd0d-3574dc889bcf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430303E-CBD4-40A2-ACDC-649B3AFA6022}"/>
</file>

<file path=customXml/itemProps2.xml><?xml version="1.0" encoding="utf-8"?>
<ds:datastoreItem xmlns:ds="http://schemas.openxmlformats.org/officeDocument/2006/customXml" ds:itemID="{9DF5C662-2CEF-40CA-9D54-CBF654743FE0}"/>
</file>

<file path=customXml/itemProps3.xml><?xml version="1.0" encoding="utf-8"?>
<ds:datastoreItem xmlns:ds="http://schemas.openxmlformats.org/officeDocument/2006/customXml" ds:itemID="{8D60879C-F9C0-4CC5-8130-F98A9798105C}"/>
</file>

<file path=docMetadata/LabelInfo.xml><?xml version="1.0" encoding="utf-8"?>
<clbl:labelList xmlns:clbl="http://schemas.microsoft.com/office/2020/mipLabelMetadata">
  <clbl:label id="{cf7ff65a-ced6-400c-9856-fcac58ff39e8}" enabled="0" method="" siteId="{cf7ff65a-ced6-400c-9856-fcac58ff39e8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Cleveland Clinic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Leestma, Kathleen</dc:creator>
  <cp:keywords/>
  <dc:description/>
  <cp:lastModifiedBy>Leestma, Kathleen</cp:lastModifiedBy>
  <cp:revision/>
  <dcterms:created xsi:type="dcterms:W3CDTF">2024-11-14T14:05:13Z</dcterms:created>
  <dcterms:modified xsi:type="dcterms:W3CDTF">2026-02-27T17:41:12Z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0x010100F66449DE472F474BB06A81D70ECC5F9A</vt:lpwstr>
  </property>
  <property fmtid="{D5CDD505-2E9C-101B-9397-08002B2CF9AE}" pid="3" name="MediaServiceImageTags">
    <vt:lpwstr/>
  </property>
</Properties>
</file>